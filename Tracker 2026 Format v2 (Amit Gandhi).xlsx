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lphadxbae.sharepoint.com/sites/DXB-Services/Shared Documents/Services Sales/Business Forecast/2026/Amit Team/"/>
    </mc:Choice>
  </mc:AlternateContent>
  <xr:revisionPtr revIDLastSave="4013" documentId="13_ncr:101_{1D7B5D20-A2AB-4317-BB07-FDC26DB4DCD1}" xr6:coauthVersionLast="47" xr6:coauthVersionMax="47" xr10:uidLastSave="{2CE013F6-8277-443D-8AF2-AA6A206D8521}"/>
  <bookViews>
    <workbookView xWindow="-110" yWindow="-110" windowWidth="19420" windowHeight="11500" tabRatio="713" activeTab="1" xr2:uid="{00000000-000D-0000-FFFF-FFFF00000000}"/>
  </bookViews>
  <sheets>
    <sheet name="Summary" sheetId="3" r:id="rId1"/>
    <sheet name="Booking &amp; Billing Forecast" sheetId="5" r:id="rId2"/>
    <sheet name="Opportunity Tracker" sheetId="6" r:id="rId3"/>
    <sheet name="ET" sheetId="9" r:id="rId4"/>
    <sheet name="Morohub" sheetId="8" r:id="rId5"/>
    <sheet name="Reem Mall" sheetId="10" r:id="rId6"/>
    <sheet name="Arenco" sheetId="12" r:id="rId7"/>
  </sheets>
  <definedNames>
    <definedName name="_xlnm._FilterDatabase" localSheetId="1" hidden="1">'Booking &amp; Billing Forecast'!$A$1:$AZ$53</definedName>
    <definedName name="_xlnm._FilterDatabase" localSheetId="2" hidden="1">'Opportunity Tracker'!$A$1:$L$34</definedName>
  </definedNames>
  <calcPr calcId="191028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2" l="1"/>
  <c r="G20" i="12"/>
  <c r="G19" i="12"/>
  <c r="J30" i="6"/>
  <c r="K30" i="6" s="1"/>
  <c r="H29" i="6"/>
  <c r="I17" i="5" l="1"/>
  <c r="AA4" i="5"/>
  <c r="AA5" i="5"/>
  <c r="AA25" i="5"/>
  <c r="AA27" i="5"/>
  <c r="E57" i="3"/>
  <c r="D57" i="3"/>
  <c r="C57" i="3"/>
  <c r="E47" i="3"/>
  <c r="D47" i="3"/>
  <c r="C47" i="3"/>
  <c r="Z27" i="5" l="1"/>
  <c r="I27" i="5"/>
  <c r="L27" i="5" s="1"/>
  <c r="M27" i="5" s="1"/>
  <c r="G22" i="5"/>
  <c r="I22" i="5"/>
  <c r="M22" i="5" s="1"/>
  <c r="L22" i="5"/>
  <c r="T22" i="5"/>
  <c r="U22" i="5"/>
  <c r="X22" i="5"/>
  <c r="K2" i="3" l="1"/>
  <c r="AF33" i="5" l="1"/>
  <c r="I33" i="5"/>
  <c r="AG33" i="5" s="1"/>
  <c r="L33" i="5" l="1"/>
  <c r="M33" i="5" s="1"/>
  <c r="AH33" i="5" s="1"/>
  <c r="L5" i="8"/>
  <c r="K5" i="8"/>
  <c r="J5" i="8"/>
  <c r="I5" i="8"/>
  <c r="G5" i="8"/>
  <c r="Z14" i="5" l="1"/>
  <c r="Z18" i="5"/>
  <c r="H35" i="5"/>
  <c r="AF15" i="5" l="1"/>
  <c r="X32" i="5"/>
  <c r="X13" i="5"/>
  <c r="X11" i="5"/>
  <c r="X8" i="5"/>
  <c r="X35" i="5"/>
  <c r="W35" i="5"/>
  <c r="X4" i="5"/>
  <c r="X21" i="5"/>
  <c r="Y3" i="5"/>
  <c r="Z34" i="5" l="1"/>
  <c r="J21" i="6"/>
  <c r="K21" i="6" s="1"/>
  <c r="Y9" i="5" l="1"/>
  <c r="X9" i="5" s="1"/>
  <c r="C16" i="12"/>
  <c r="W21" i="5" l="1"/>
  <c r="J19" i="6" l="1"/>
  <c r="K19" i="6" s="1"/>
  <c r="J16" i="6"/>
  <c r="K16" i="6" s="1"/>
  <c r="J17" i="6"/>
  <c r="K17" i="6" s="1"/>
  <c r="V3" i="5" l="1"/>
  <c r="U31" i="5"/>
  <c r="U9" i="5"/>
  <c r="U6" i="5"/>
  <c r="U5" i="5"/>
  <c r="U25" i="5"/>
  <c r="U13" i="5"/>
  <c r="U11" i="5"/>
  <c r="U8" i="5"/>
  <c r="U28" i="5"/>
  <c r="S3" i="5"/>
  <c r="R4" i="5"/>
  <c r="R16" i="5"/>
  <c r="R5" i="5"/>
  <c r="R26" i="5"/>
  <c r="G23" i="5"/>
  <c r="I23" i="5" s="1"/>
  <c r="M23" i="5" s="1"/>
  <c r="G10" i="5"/>
  <c r="L10" i="5" s="1"/>
  <c r="G9" i="5"/>
  <c r="L9" i="5" s="1"/>
  <c r="AA10" i="5"/>
  <c r="AB10" i="5" s="1"/>
  <c r="AD10" i="5"/>
  <c r="AE10" i="5" s="1"/>
  <c r="AG10" i="5"/>
  <c r="AH10" i="5" s="1"/>
  <c r="AJ10" i="5"/>
  <c r="AK10" i="5" s="1"/>
  <c r="AM10" i="5"/>
  <c r="AN10" i="5" s="1"/>
  <c r="AP10" i="5"/>
  <c r="AQ10" i="5" s="1"/>
  <c r="AS10" i="5"/>
  <c r="AT10" i="5" s="1"/>
  <c r="AV10" i="5"/>
  <c r="AW10" i="5" s="1"/>
  <c r="AY10" i="5"/>
  <c r="AZ10" i="5" s="1"/>
  <c r="I10" i="5" l="1"/>
  <c r="M10" i="5" s="1"/>
  <c r="L23" i="5"/>
  <c r="I9" i="5"/>
  <c r="M9" i="5" s="1"/>
  <c r="T30" i="5"/>
  <c r="I30" i="5"/>
  <c r="I18" i="5"/>
  <c r="L18" i="5" l="1"/>
  <c r="M18" i="5" s="1"/>
  <c r="AB18" i="5" s="1"/>
  <c r="AA18" i="5"/>
  <c r="L30" i="5"/>
  <c r="M30" i="5" s="1"/>
  <c r="V30" i="5" s="1"/>
  <c r="U30" i="5" s="1"/>
  <c r="AC29" i="5"/>
  <c r="I29" i="5"/>
  <c r="AD29" i="5" s="1"/>
  <c r="AI14" i="5"/>
  <c r="AL14" i="5"/>
  <c r="L29" i="5" l="1"/>
  <c r="M29" i="5" s="1"/>
  <c r="AE29" i="5" s="1"/>
  <c r="E25" i="3" l="1"/>
  <c r="E24" i="3"/>
  <c r="E23" i="3"/>
  <c r="E22" i="3"/>
  <c r="E21" i="3"/>
  <c r="D25" i="3"/>
  <c r="D24" i="3"/>
  <c r="D23" i="3"/>
  <c r="D22" i="3"/>
  <c r="D21" i="3"/>
  <c r="C25" i="3"/>
  <c r="C24" i="3"/>
  <c r="C23" i="3"/>
  <c r="C22" i="3"/>
  <c r="C21" i="3"/>
  <c r="C20" i="3"/>
  <c r="C18" i="3"/>
  <c r="C17" i="3"/>
  <c r="C15" i="3"/>
  <c r="I15" i="5" l="1"/>
  <c r="W32" i="5"/>
  <c r="O8" i="8"/>
  <c r="N8" i="8"/>
  <c r="M8" i="8"/>
  <c r="K8" i="8"/>
  <c r="L8" i="8"/>
  <c r="O7" i="8"/>
  <c r="N7" i="8"/>
  <c r="AG15" i="5" l="1"/>
  <c r="L15" i="5"/>
  <c r="M15" i="5" s="1"/>
  <c r="Q14" i="8"/>
  <c r="I28" i="5"/>
  <c r="J5" i="6"/>
  <c r="K5" i="6" s="1"/>
  <c r="AH15" i="5" l="1"/>
  <c r="G31" i="5"/>
  <c r="J32" i="6"/>
  <c r="J31" i="6"/>
  <c r="J29" i="6"/>
  <c r="K29" i="6" s="1"/>
  <c r="J28" i="6"/>
  <c r="K28" i="6" s="1"/>
  <c r="J27" i="6"/>
  <c r="K27" i="6" s="1"/>
  <c r="J26" i="6"/>
  <c r="K26" i="6" s="1"/>
  <c r="J25" i="6"/>
  <c r="K25" i="6" s="1"/>
  <c r="H8" i="6"/>
  <c r="J8" i="6" s="1"/>
  <c r="K8" i="6" s="1"/>
  <c r="J9" i="6"/>
  <c r="K9" i="6" s="1"/>
  <c r="J15" i="6"/>
  <c r="K15" i="6" s="1"/>
  <c r="T31" i="5" l="1"/>
  <c r="C16" i="3"/>
  <c r="C19" i="3" l="1"/>
  <c r="I7" i="5" l="1"/>
  <c r="E6" i="3"/>
  <c r="R14" i="5"/>
  <c r="R17" i="5"/>
  <c r="I26" i="5"/>
  <c r="L26" i="5" s="1"/>
  <c r="L7" i="5" l="1"/>
  <c r="M7" i="5" s="1"/>
  <c r="M26" i="5"/>
  <c r="T28" i="5"/>
  <c r="L13" i="5"/>
  <c r="J24" i="6" l="1"/>
  <c r="K24" i="6" s="1"/>
  <c r="J20" i="6"/>
  <c r="K20" i="6" s="1"/>
  <c r="J23" i="6"/>
  <c r="K23" i="6" s="1"/>
  <c r="J22" i="6"/>
  <c r="K22" i="6" s="1"/>
  <c r="J18" i="6"/>
  <c r="K18" i="6" s="1"/>
  <c r="J14" i="6"/>
  <c r="K14" i="6" s="1"/>
  <c r="J13" i="6"/>
  <c r="K13" i="6" s="1"/>
  <c r="J12" i="6"/>
  <c r="K12" i="6" s="1"/>
  <c r="H3" i="8"/>
  <c r="H13" i="8"/>
  <c r="H14" i="8"/>
  <c r="Q16" i="5"/>
  <c r="R11" i="5"/>
  <c r="S9" i="5" l="1"/>
  <c r="R9" i="5" s="1"/>
  <c r="Q26" i="5"/>
  <c r="J11" i="6"/>
  <c r="K11" i="6" s="1"/>
  <c r="AF14" i="5"/>
  <c r="AC14" i="5"/>
  <c r="Q14" i="5"/>
  <c r="I14" i="5"/>
  <c r="AA14" i="5" s="1"/>
  <c r="AJ14" i="5" l="1"/>
  <c r="AM14" i="5"/>
  <c r="AD14" i="5"/>
  <c r="AG14" i="5"/>
  <c r="L14" i="5"/>
  <c r="M14" i="5" s="1"/>
  <c r="AB14" i="5" s="1"/>
  <c r="AN14" i="5" l="1"/>
  <c r="AK14" i="5"/>
  <c r="AH14" i="5"/>
  <c r="AE14" i="5"/>
  <c r="R20" i="5"/>
  <c r="S20" i="5" s="1"/>
  <c r="R25" i="5"/>
  <c r="I20" i="5" l="1"/>
  <c r="L20" i="5" s="1"/>
  <c r="M20" i="5" s="1"/>
  <c r="L2" i="8"/>
  <c r="K2" i="8"/>
  <c r="I14" i="8"/>
  <c r="J14" i="8" s="1"/>
  <c r="I3" i="8"/>
  <c r="J3" i="8" s="1"/>
  <c r="I13" i="8"/>
  <c r="J13" i="8" s="1"/>
  <c r="G2" i="8"/>
  <c r="H2" i="8" l="1"/>
  <c r="I2" i="8"/>
  <c r="J2" i="8" s="1"/>
  <c r="I8" i="5"/>
  <c r="M8" i="5" s="1"/>
  <c r="R8" i="5"/>
  <c r="AA8" i="5"/>
  <c r="M19" i="5" l="1"/>
  <c r="H19" i="5"/>
  <c r="AO25" i="5" l="1"/>
  <c r="AL25" i="5"/>
  <c r="AI25" i="5"/>
  <c r="AF25" i="5"/>
  <c r="AC25" i="5"/>
  <c r="I25" i="5"/>
  <c r="AX24" i="5"/>
  <c r="I24" i="5"/>
  <c r="D20" i="3" s="1"/>
  <c r="L25" i="5" l="1"/>
  <c r="AR25" i="5"/>
  <c r="AM25" i="5"/>
  <c r="AP25" i="5"/>
  <c r="AY24" i="5"/>
  <c r="L24" i="5"/>
  <c r="M24" i="5" s="1"/>
  <c r="E20" i="3" s="1"/>
  <c r="AD25" i="5"/>
  <c r="AJ25" i="5"/>
  <c r="AG25" i="5"/>
  <c r="AZ24" i="5" l="1"/>
  <c r="AS25" i="5"/>
  <c r="J2" i="3" l="1"/>
  <c r="L2" i="3" s="1"/>
  <c r="AY6" i="5" l="1"/>
  <c r="AZ6" i="5" s="1"/>
  <c r="AS13" i="5" l="1"/>
  <c r="AP13" i="5"/>
  <c r="AM13" i="5"/>
  <c r="AJ13" i="5"/>
  <c r="AG13" i="5"/>
  <c r="AD13" i="5"/>
  <c r="AA13" i="5"/>
  <c r="R13" i="5"/>
  <c r="J7" i="6" l="1"/>
  <c r="K7" i="6" s="1"/>
  <c r="J2" i="6"/>
  <c r="K2" i="6" s="1"/>
  <c r="J10" i="6"/>
  <c r="K10" i="6" s="1"/>
  <c r="J6" i="6" l="1"/>
  <c r="K6" i="6" s="1"/>
  <c r="J4" i="6"/>
  <c r="K4" i="6" s="1"/>
  <c r="J3" i="6"/>
  <c r="K3" i="6" s="1"/>
  <c r="E34" i="3" s="1"/>
  <c r="L22" i="3"/>
  <c r="L21" i="3"/>
  <c r="AJ11" i="5"/>
  <c r="AG11" i="5"/>
  <c r="AD11" i="5"/>
  <c r="AA11" i="5"/>
  <c r="I16" i="5"/>
  <c r="I6" i="5"/>
  <c r="L6" i="5" s="1"/>
  <c r="M6" i="5" s="1"/>
  <c r="I12" i="5"/>
  <c r="I11" i="5"/>
  <c r="G13" i="5"/>
  <c r="C14" i="3" s="1"/>
  <c r="E37" i="3"/>
  <c r="D37" i="3"/>
  <c r="C37" i="3"/>
  <c r="L24" i="3"/>
  <c r="G6" i="3"/>
  <c r="C6" i="3"/>
  <c r="G14" i="3"/>
  <c r="H14" i="3"/>
  <c r="E36" i="3"/>
  <c r="C36" i="3"/>
  <c r="H17" i="3"/>
  <c r="C8" i="3" s="1"/>
  <c r="E35" i="3"/>
  <c r="D35" i="3"/>
  <c r="C35" i="3"/>
  <c r="C34" i="3"/>
  <c r="C33" i="3"/>
  <c r="C32" i="3"/>
  <c r="C31" i="3"/>
  <c r="C53" i="3" s="1"/>
  <c r="D36" i="3"/>
  <c r="I4" i="5"/>
  <c r="L4" i="5" s="1"/>
  <c r="I5" i="5"/>
  <c r="L5" i="5" s="1"/>
  <c r="I21" i="5"/>
  <c r="I31" i="5"/>
  <c r="I32" i="5"/>
  <c r="I34" i="5"/>
  <c r="L35" i="5"/>
  <c r="I36" i="5"/>
  <c r="L36" i="5" s="1"/>
  <c r="I37" i="5"/>
  <c r="L37" i="5" s="1"/>
  <c r="I38" i="5"/>
  <c r="L38" i="5" s="1"/>
  <c r="I39" i="5"/>
  <c r="L39" i="5" s="1"/>
  <c r="I40" i="5"/>
  <c r="L40" i="5" s="1"/>
  <c r="I41" i="5"/>
  <c r="I42" i="5"/>
  <c r="L42" i="5" s="1"/>
  <c r="I43" i="5"/>
  <c r="L43" i="5" s="1"/>
  <c r="I44" i="5"/>
  <c r="L44" i="5" s="1"/>
  <c r="I45" i="5"/>
  <c r="L45" i="5" s="1"/>
  <c r="I46" i="5"/>
  <c r="L46" i="5" s="1"/>
  <c r="I47" i="5"/>
  <c r="L47" i="5" s="1"/>
  <c r="I48" i="5"/>
  <c r="L48" i="5" s="1"/>
  <c r="I49" i="5"/>
  <c r="I50" i="5"/>
  <c r="L50" i="5" s="1"/>
  <c r="I51" i="5"/>
  <c r="I52" i="5"/>
  <c r="L52" i="5" s="1"/>
  <c r="I53" i="5"/>
  <c r="L53" i="5" s="1"/>
  <c r="L34" i="5" l="1"/>
  <c r="M34" i="5" s="1"/>
  <c r="AB34" i="5" s="1"/>
  <c r="AA34" i="5"/>
  <c r="L17" i="3" s="1"/>
  <c r="E8" i="3" s="1"/>
  <c r="E31" i="3"/>
  <c r="E53" i="3" s="1"/>
  <c r="D31" i="3"/>
  <c r="D53" i="3" s="1"/>
  <c r="D15" i="3"/>
  <c r="D18" i="3"/>
  <c r="D17" i="3"/>
  <c r="D19" i="3"/>
  <c r="D16" i="3"/>
  <c r="L12" i="5"/>
  <c r="M12" i="5" s="1"/>
  <c r="L31" i="5"/>
  <c r="M31" i="5" s="1"/>
  <c r="L15" i="3"/>
  <c r="L21" i="5"/>
  <c r="M21" i="5" s="1"/>
  <c r="L19" i="3"/>
  <c r="E33" i="3"/>
  <c r="L16" i="5"/>
  <c r="M16" i="5" s="1"/>
  <c r="L17" i="5"/>
  <c r="M17" i="5" s="1"/>
  <c r="I13" i="5"/>
  <c r="M13" i="5" s="1"/>
  <c r="M42" i="5"/>
  <c r="M43" i="5"/>
  <c r="M47" i="5"/>
  <c r="S19" i="5"/>
  <c r="R19" i="5" s="1"/>
  <c r="L25" i="3"/>
  <c r="M44" i="5"/>
  <c r="M45" i="5"/>
  <c r="M46" i="5"/>
  <c r="M50" i="5"/>
  <c r="L18" i="3"/>
  <c r="M48" i="5"/>
  <c r="M36" i="5"/>
  <c r="M52" i="5"/>
  <c r="M4" i="5"/>
  <c r="M37" i="5"/>
  <c r="M53" i="5"/>
  <c r="M5" i="5"/>
  <c r="M38" i="5"/>
  <c r="M39" i="5"/>
  <c r="M35" i="5"/>
  <c r="M25" i="5"/>
  <c r="M40" i="5"/>
  <c r="L16" i="3"/>
  <c r="E32" i="3"/>
  <c r="L20" i="3"/>
  <c r="K15" i="3"/>
  <c r="K16" i="3"/>
  <c r="K17" i="3"/>
  <c r="K23" i="3"/>
  <c r="K24" i="3"/>
  <c r="K25" i="3"/>
  <c r="K18" i="3"/>
  <c r="K19" i="3"/>
  <c r="K20" i="3"/>
  <c r="K21" i="3"/>
  <c r="K14" i="3"/>
  <c r="K22" i="3"/>
  <c r="L28" i="5"/>
  <c r="M28" i="5" s="1"/>
  <c r="L32" i="5"/>
  <c r="M32" i="5" s="1"/>
  <c r="L41" i="5"/>
  <c r="M41" i="5" s="1"/>
  <c r="L49" i="5"/>
  <c r="M49" i="5" s="1"/>
  <c r="L51" i="5"/>
  <c r="M51" i="5" s="1"/>
  <c r="D32" i="3"/>
  <c r="D34" i="3"/>
  <c r="D33" i="3"/>
  <c r="H15" i="3"/>
  <c r="E18" i="3" l="1"/>
  <c r="E15" i="3"/>
  <c r="E19" i="3"/>
  <c r="E17" i="3"/>
  <c r="E14" i="3"/>
  <c r="D14" i="3"/>
  <c r="E16" i="3"/>
  <c r="AQ25" i="5"/>
  <c r="AN25" i="5"/>
  <c r="AK25" i="5"/>
  <c r="AH25" i="5"/>
  <c r="AE25" i="5"/>
  <c r="L14" i="3"/>
  <c r="P25" i="3"/>
  <c r="P24" i="3"/>
  <c r="P23" i="3"/>
  <c r="P22" i="3"/>
  <c r="P21" i="3"/>
  <c r="P20" i="3"/>
  <c r="P19" i="3"/>
  <c r="P18" i="3"/>
  <c r="P17" i="3"/>
  <c r="P16" i="3"/>
  <c r="P15" i="3"/>
  <c r="P14" i="3"/>
  <c r="E7" i="3" l="1"/>
  <c r="E9" i="3" s="1"/>
  <c r="E10" i="3" s="1"/>
  <c r="D41" i="3"/>
  <c r="D46" i="3" s="1"/>
  <c r="D48" i="3" s="1"/>
  <c r="E26" i="3"/>
  <c r="AT25" i="5"/>
  <c r="Q23" i="3" s="1"/>
  <c r="M20" i="3"/>
  <c r="N20" i="3" s="1"/>
  <c r="M21" i="3"/>
  <c r="N21" i="3" s="1"/>
  <c r="M22" i="3"/>
  <c r="N22" i="3" s="1"/>
  <c r="M14" i="3"/>
  <c r="N14" i="3" s="1"/>
  <c r="M15" i="3"/>
  <c r="N15" i="3" s="1"/>
  <c r="M16" i="3"/>
  <c r="N16" i="3" s="1"/>
  <c r="M19" i="3"/>
  <c r="N19" i="3" s="1"/>
  <c r="M17" i="3"/>
  <c r="N17" i="3" s="1"/>
  <c r="M18" i="3"/>
  <c r="N18" i="3" s="1"/>
  <c r="Q25" i="3"/>
  <c r="Q24" i="3"/>
  <c r="Q22" i="3"/>
  <c r="Q21" i="3"/>
  <c r="Q20" i="3"/>
  <c r="Q19" i="3"/>
  <c r="Q18" i="3"/>
  <c r="Q17" i="3"/>
  <c r="G8" i="3" s="1"/>
  <c r="Q16" i="3"/>
  <c r="G25" i="3"/>
  <c r="G24" i="3"/>
  <c r="G23" i="3"/>
  <c r="G22" i="3"/>
  <c r="G21" i="3"/>
  <c r="G20" i="3"/>
  <c r="G19" i="3"/>
  <c r="G18" i="3"/>
  <c r="G17" i="3"/>
  <c r="G16" i="3"/>
  <c r="G15" i="3"/>
  <c r="H23" i="3"/>
  <c r="H22" i="3"/>
  <c r="H21" i="3"/>
  <c r="H20" i="3"/>
  <c r="H19" i="3"/>
  <c r="H18" i="3"/>
  <c r="H16" i="3"/>
  <c r="Q14" i="3"/>
  <c r="C7" i="3" l="1"/>
  <c r="C41" i="3"/>
  <c r="C46" i="3" s="1"/>
  <c r="C48" i="3" s="1"/>
  <c r="W14" i="3"/>
  <c r="Q15" i="3"/>
  <c r="W15" i="3" s="1"/>
  <c r="R14" i="3"/>
  <c r="S14" i="3" s="1"/>
  <c r="I14" i="3"/>
  <c r="J14" i="3" s="1"/>
  <c r="E41" i="3" l="1"/>
  <c r="E46" i="3" s="1"/>
  <c r="E48" i="3" s="1"/>
  <c r="G7" i="3"/>
  <c r="G9" i="3" s="1"/>
  <c r="G10" i="3" s="1"/>
  <c r="R22" i="3"/>
  <c r="S22" i="3" s="1"/>
  <c r="I19" i="3"/>
  <c r="J19" i="3" s="1"/>
  <c r="I18" i="3"/>
  <c r="J18" i="3" s="1"/>
  <c r="I20" i="3"/>
  <c r="J20" i="3" s="1"/>
  <c r="I16" i="3"/>
  <c r="J16" i="3" s="1"/>
  <c r="I23" i="3"/>
  <c r="J23" i="3" s="1"/>
  <c r="I21" i="3"/>
  <c r="J21" i="3" s="1"/>
  <c r="I15" i="3"/>
  <c r="J15" i="3" s="1"/>
  <c r="I22" i="3"/>
  <c r="J22" i="3" s="1"/>
  <c r="I17" i="3"/>
  <c r="J17" i="3" s="1"/>
  <c r="R20" i="3"/>
  <c r="S20" i="3" s="1"/>
  <c r="R16" i="3"/>
  <c r="S16" i="3" s="1"/>
  <c r="R19" i="3"/>
  <c r="S19" i="3" s="1"/>
  <c r="R25" i="3"/>
  <c r="S25" i="3" s="1"/>
  <c r="R17" i="3"/>
  <c r="S17" i="3" s="1"/>
  <c r="R21" i="3"/>
  <c r="S21" i="3" s="1"/>
  <c r="R18" i="3"/>
  <c r="S18" i="3" s="1"/>
  <c r="R24" i="3"/>
  <c r="S24" i="3" s="1"/>
  <c r="R23" i="3"/>
  <c r="S23" i="3" s="1"/>
  <c r="R15" i="3"/>
  <c r="S15" i="3" s="1"/>
  <c r="C26" i="3" l="1"/>
  <c r="C27" i="3" s="1"/>
  <c r="D26" i="3" l="1"/>
  <c r="C9" i="3" l="1"/>
  <c r="C10" i="3" s="1"/>
  <c r="Q26" i="3"/>
  <c r="E52" i="3" s="1"/>
  <c r="E56" i="3" s="1"/>
  <c r="E58" i="3" s="1"/>
  <c r="M11" i="5" l="1"/>
  <c r="H24" i="3"/>
  <c r="H25" i="3"/>
  <c r="H26" i="3" l="1"/>
  <c r="C52" i="3" s="1"/>
  <c r="C56" i="3" s="1"/>
  <c r="C58" i="3" s="1"/>
  <c r="I24" i="3"/>
  <c r="J24" i="3" s="1"/>
  <c r="I25" i="3"/>
  <c r="J25" i="3" s="1"/>
  <c r="L23" i="3"/>
  <c r="M24" i="3" s="1"/>
  <c r="N24" i="3" s="1"/>
  <c r="L26" i="3" l="1"/>
  <c r="D52" i="3" s="1"/>
  <c r="D56" i="3" s="1"/>
  <c r="D58" i="3" s="1"/>
  <c r="M25" i="3"/>
  <c r="N25" i="3" s="1"/>
  <c r="M23" i="3"/>
  <c r="N2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tc={526E9CB6-510B-4394-8F3D-5610322D0BC7}</author>
  </authors>
  <commentList>
    <comment ref="G9" authorId="0" shapeId="0" xr:uid="{526E9CB6-510B-4394-8F3D-5610322D0BC7}">
      <text>
        <t>[Threaded comment]
Your version of Excel allows you to read this threaded comment; however, any edits to it will get removed if the file is opened in a newer version of Excel. Learn more: https://go.microsoft.com/fwlink/?linkid=870924
Comment:
    149000 x 3 = 447000 (Feb 2026)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tc={777A05E6-51C9-49EE-817D-A4C0DE64D032}</author>
    <author>tc={B08B0F71-38AF-430D-9AD5-616A59403654}</author>
    <author>tc={BD412C7D-D3F3-4C3D-9301-9B6C68D5B06B}</author>
    <author>tc={B25CD609-4C1C-4A89-A420-4D9BD0A57F4F}</author>
    <author>tc={1AAB79F8-094F-47D4-8DDC-985FD94B6F44}</author>
    <author>tc={839F8FF3-A160-4486-8CB4-CA8C22EBFAC8}</author>
    <author>tc={1847588A-3AE5-4635-BAF5-27AE68E7E368}</author>
  </authors>
  <commentList>
    <comment ref="K2" authorId="0" shapeId="0" xr:uid="{777A05E6-51C9-49EE-817D-A4C0DE64D032}">
      <text>
        <t>[Threaded comment]
Your version of Excel allows you to read this threaded comment; however, any edits to it will get removed if the file is opened in a newer version of Excel. Learn more: https://go.microsoft.com/fwlink/?linkid=870924
Comment:
    30/6/25</t>
      </text>
    </comment>
    <comment ref="L2" authorId="1" shapeId="0" xr:uid="{B08B0F71-38AF-430D-9AD5-616A59403654}">
      <text>
        <t>[Threaded comment]
Your version of Excel allows you to read this threaded comment; however, any edits to it will get removed if the file is opened in a newer version of Excel. Learn more: https://go.microsoft.com/fwlink/?linkid=870924
Comment:
    28/11/25</t>
      </text>
    </comment>
    <comment ref="K14" authorId="2" shapeId="0" xr:uid="{BD412C7D-D3F3-4C3D-9301-9B6C68D5B06B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13/12/24</t>
      </text>
    </comment>
    <comment ref="L14" authorId="3" shapeId="0" xr:uid="{B25CD609-4C1C-4A89-A420-4D9BD0A57F4F}">
      <text>
        <t>[Threaded comment]
Your version of Excel allows you to read this threaded comment; however, any edits to it will get removed if the file is opened in a newer version of Excel. Learn more: https://go.microsoft.com/fwlink/?linkid=870924
Comment:
    4/2/25</t>
      </text>
    </comment>
    <comment ref="M14" authorId="4" shapeId="0" xr:uid="{1AAB79F8-094F-47D4-8DDC-985FD94B6F44}">
      <text>
        <t>[Threaded comment]
Your version of Excel allows you to read this threaded comment; however, any edits to it will get removed if the file is opened in a newer version of Excel. Learn more: https://go.microsoft.com/fwlink/?linkid=870924
Comment:
    29/4/25</t>
      </text>
    </comment>
    <comment ref="N14" authorId="5" shapeId="0" xr:uid="{839F8FF3-A160-4486-8CB4-CA8C22EBFAC8}">
      <text>
        <t>[Threaded comment]
Your version of Excel allows you to read this threaded comment; however, any edits to it will get removed if the file is opened in a newer version of Excel. Learn more: https://go.microsoft.com/fwlink/?linkid=870924
Comment:
    11/9/25</t>
      </text>
    </comment>
    <comment ref="O14" authorId="6" shapeId="0" xr:uid="{1847588A-3AE5-4635-BAF5-27AE68E7E368}">
      <text>
        <t>[Threaded comment]
Your version of Excel allows you to read this threaded comment; however, any edits to it will get removed if the file is opened in a newer version of Excel. Learn more: https://go.microsoft.com/fwlink/?linkid=870924
Comment:
    31/10/25</t>
      </text>
    </comment>
  </commentList>
</comments>
</file>

<file path=xl/sharedStrings.xml><?xml version="1.0" encoding="utf-8"?>
<sst xmlns="http://schemas.openxmlformats.org/spreadsheetml/2006/main" count="730" uniqueCount="326">
  <si>
    <t>Account Manager :--</t>
  </si>
  <si>
    <t>Amit Gandhi</t>
  </si>
  <si>
    <t>[--- need to cange the respective month (Jan- 1, Feb- 2, Mar -3)</t>
  </si>
  <si>
    <t>Top Line Target 2026</t>
  </si>
  <si>
    <t>GP Target 2026</t>
  </si>
  <si>
    <t>NP Target 2026</t>
  </si>
  <si>
    <t>{-- enter your targets</t>
  </si>
  <si>
    <t>YTD Target</t>
  </si>
  <si>
    <t>Acheived Till Date 
(previous month)</t>
  </si>
  <si>
    <t>Acheived Till Date
(previous month)</t>
  </si>
  <si>
    <t xml:space="preserve">Current Month Forecast </t>
  </si>
  <si>
    <t>Delta</t>
  </si>
  <si>
    <t>Delta in %</t>
  </si>
  <si>
    <t>Booking  details</t>
  </si>
  <si>
    <t>Billing details</t>
  </si>
  <si>
    <t>Top Line</t>
  </si>
  <si>
    <t>GP Value</t>
  </si>
  <si>
    <t>NP Value</t>
  </si>
  <si>
    <t>Top Line Target</t>
  </si>
  <si>
    <t>Top Line Billing</t>
  </si>
  <si>
    <t>Top Line YTD Delta</t>
  </si>
  <si>
    <t>Top Line YTD Variance</t>
  </si>
  <si>
    <t>GP Target</t>
  </si>
  <si>
    <t>GP Billing</t>
  </si>
  <si>
    <t>GP YTD Delta</t>
  </si>
  <si>
    <t>YTD Variance %</t>
  </si>
  <si>
    <t>NP Target</t>
  </si>
  <si>
    <t>NP Billing</t>
  </si>
  <si>
    <t>NP YTD Delta</t>
  </si>
  <si>
    <t>Q1</t>
  </si>
  <si>
    <t>Q2</t>
  </si>
  <si>
    <t>Q3</t>
  </si>
  <si>
    <t>Q4</t>
  </si>
  <si>
    <t>Opportunity Summary</t>
  </si>
  <si>
    <t>Opportunity Pipelines</t>
  </si>
  <si>
    <t>Lost</t>
  </si>
  <si>
    <t>Hold</t>
  </si>
  <si>
    <t>Didn’t Participate</t>
  </si>
  <si>
    <t>Won Yet to be Booked in Vikas</t>
  </si>
  <si>
    <t>Date</t>
  </si>
  <si>
    <t>Account Manager</t>
  </si>
  <si>
    <t>Billing Division</t>
  </si>
  <si>
    <t xml:space="preserve">Customer </t>
  </si>
  <si>
    <t>Project Description</t>
  </si>
  <si>
    <t>Project Type</t>
  </si>
  <si>
    <t>Order Value</t>
  </si>
  <si>
    <t>GP%</t>
  </si>
  <si>
    <t>Internal Team involved</t>
  </si>
  <si>
    <t>Payroll %</t>
  </si>
  <si>
    <t>Payroll Cost</t>
  </si>
  <si>
    <t xml:space="preserve">Status </t>
  </si>
  <si>
    <t>Booking Month</t>
  </si>
  <si>
    <t>Vikas Invoice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</si>
  <si>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</si>
  <si>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</si>
  <si>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</si>
  <si>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</si>
  <si>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</si>
  <si>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</si>
  <si>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</si>
  <si>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</si>
  <si>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Sept-26</t>
  </si>
  <si>
    <t>Oct-26</t>
  </si>
  <si>
    <t>Nov-26</t>
  </si>
  <si>
    <t>Dec-26</t>
  </si>
  <si>
    <t>Invoice Value</t>
  </si>
  <si>
    <t>GP</t>
  </si>
  <si>
    <t>Financial Costing</t>
  </si>
  <si>
    <t>MSDT</t>
  </si>
  <si>
    <t>Dollar Rent A Car</t>
  </si>
  <si>
    <t>Azure Cloud Usage (LPO # 24000028/L2/00060)</t>
  </si>
  <si>
    <t>Cloud</t>
  </si>
  <si>
    <t>Yes</t>
  </si>
  <si>
    <t>Booked in VIkas</t>
  </si>
  <si>
    <t>DCO2402246</t>
  </si>
  <si>
    <t>Dubai Furniture Manufacturing Co. LLC</t>
  </si>
  <si>
    <t>Azure Cloud Usage (LPO # 1003/L5)</t>
  </si>
  <si>
    <t>DCO2506584</t>
  </si>
  <si>
    <t>Emirates Post Group (7X)</t>
  </si>
  <si>
    <t>Digital Signature: DocuSign - 60000 Envelopes (Contract # 100057)</t>
  </si>
  <si>
    <t>Licenses</t>
  </si>
  <si>
    <t>No</t>
  </si>
  <si>
    <t>DCO2407384</t>
  </si>
  <si>
    <t>Al Farwaniya Property Developments Limited</t>
  </si>
  <si>
    <t>Managed Services - EUS &amp; Network Security</t>
  </si>
  <si>
    <t>Managed Services</t>
  </si>
  <si>
    <t>DMT2500030</t>
  </si>
  <si>
    <t>Managed Services - IT Helpdesk &amp; Desktop Support: 2026 (Contract # 100122/2025)</t>
  </si>
  <si>
    <t>DCO2504715</t>
  </si>
  <si>
    <t>ELV</t>
  </si>
  <si>
    <t>Amlak Finance PJSC</t>
  </si>
  <si>
    <t>APC UPS AMC (LPO # 9856)</t>
  </si>
  <si>
    <t>AMC Alpha</t>
  </si>
  <si>
    <t>DMT2500207</t>
  </si>
  <si>
    <t>Micro</t>
  </si>
  <si>
    <t>National Bank of Ras Al Khaimah</t>
  </si>
  <si>
    <t>Exchange Upgrade 2016 to 2019</t>
  </si>
  <si>
    <t>Microsoft</t>
  </si>
  <si>
    <t>DCO2508488</t>
  </si>
  <si>
    <t>Managed Services - IT Infrastructure - 2026 (LPO # 9987)</t>
  </si>
  <si>
    <t>DCO2508313</t>
  </si>
  <si>
    <t>Arenco Real Estate Co LLC</t>
  </si>
  <si>
    <t>O365 Backup on Veeam (LPO # 25000112)</t>
  </si>
  <si>
    <t>DCO2507049</t>
  </si>
  <si>
    <t>BCP site (LPO # PO# 10018)</t>
  </si>
  <si>
    <t>Hardware</t>
  </si>
  <si>
    <t>DCO2509094</t>
  </si>
  <si>
    <t>Department of Economy &amp; Tourism</t>
  </si>
  <si>
    <t>DCT - Adobe License renewal (LPO# 42507074/0)</t>
  </si>
  <si>
    <t>DCO2509466</t>
  </si>
  <si>
    <t>Marlin Interiors Design LLC</t>
  </si>
  <si>
    <t>NetApp Upgrade (LPO # 25000093/L5)</t>
  </si>
  <si>
    <t>DCO2509184</t>
  </si>
  <si>
    <t>Rishabh</t>
  </si>
  <si>
    <t>DCO2600593</t>
  </si>
  <si>
    <t>Data Hub Integrated Solutions Moro LLC</t>
  </si>
  <si>
    <t>Cyber 360 CR (LPO # 3224250888)</t>
  </si>
  <si>
    <t>BizApp</t>
  </si>
  <si>
    <t>DCO2600249</t>
  </si>
  <si>
    <t>Windows Workload Migration - Azure cloud Usage for 25-26 (LPO # 26000001)</t>
  </si>
  <si>
    <t>DCO2600233</t>
  </si>
  <si>
    <t>Windows Workload Migration - License renewal (LPO # 26000002)</t>
  </si>
  <si>
    <t>DCO2600261</t>
  </si>
  <si>
    <t>DCO2600185</t>
  </si>
  <si>
    <t>Porposal Date</t>
  </si>
  <si>
    <t>Presales</t>
  </si>
  <si>
    <t>Division</t>
  </si>
  <si>
    <t>Proposal Value</t>
  </si>
  <si>
    <t xml:space="preserve"> GP Value</t>
  </si>
  <si>
    <t>Adnan / Thejas</t>
  </si>
  <si>
    <t>Thrifty Rent A Car</t>
  </si>
  <si>
    <t>Team Integration with Telephony System and Call Center</t>
  </si>
  <si>
    <t>NW</t>
  </si>
  <si>
    <t>Telecom</t>
  </si>
  <si>
    <t>Sriraj</t>
  </si>
  <si>
    <t>Visitor Management System - Convexsol</t>
  </si>
  <si>
    <t>Other Application</t>
  </si>
  <si>
    <t>Rajendran</t>
  </si>
  <si>
    <t>DocuSign SDFC Addon Licenses</t>
  </si>
  <si>
    <t>Rajendran / Kumar</t>
  </si>
  <si>
    <t>Azure Blog Storage + Veeam Backup</t>
  </si>
  <si>
    <t>Aparna</t>
  </si>
  <si>
    <t>Cisco Renewal</t>
  </si>
  <si>
    <t>Network</t>
  </si>
  <si>
    <t>Email Security Gateway (Checkpoint)</t>
  </si>
  <si>
    <t>Cybersecurity</t>
  </si>
  <si>
    <t>AVD Assessment</t>
  </si>
  <si>
    <t>Ali Siddiqui</t>
  </si>
  <si>
    <t>Naturelle LLC</t>
  </si>
  <si>
    <t>Cisco Wi-Fi Upgrade</t>
  </si>
  <si>
    <t>Thejas</t>
  </si>
  <si>
    <t>Cisco Telephony Upgrade for Marketing Department</t>
  </si>
  <si>
    <t>AutoCAD License</t>
  </si>
  <si>
    <t>Nutricia Middle East DMCC</t>
  </si>
  <si>
    <t>Emirates Transport</t>
  </si>
  <si>
    <t>DCO Number</t>
  </si>
  <si>
    <t>DCO Date</t>
  </si>
  <si>
    <t>Customer Name</t>
  </si>
  <si>
    <t>LPO Number</t>
  </si>
  <si>
    <t>LPO Value</t>
  </si>
  <si>
    <t>Status</t>
  </si>
  <si>
    <t>Finance Approval</t>
  </si>
  <si>
    <t>Location / Details</t>
  </si>
  <si>
    <t>Booked under Tawfeeq</t>
  </si>
  <si>
    <t>DCO2409838</t>
  </si>
  <si>
    <t>EMIRATES PUBLIC TRANSPORT AND SERVICES COMPANY</t>
  </si>
  <si>
    <t>Pending</t>
  </si>
  <si>
    <t>APPROVED</t>
  </si>
  <si>
    <t>IDF2 Shifting _ AlQusais</t>
  </si>
  <si>
    <t>DCO2500395</t>
  </si>
  <si>
    <t>Partial</t>
  </si>
  <si>
    <t>RAK Br. Workstations, Security Main Gate RAK, HO &amp; FUJ Br. Guard Rm</t>
  </si>
  <si>
    <t>Transfer from Tawfeeq to Amit</t>
  </si>
  <si>
    <t>DCO2503867</t>
  </si>
  <si>
    <t>Al Warsan</t>
  </si>
  <si>
    <t>DCO2507318</t>
  </si>
  <si>
    <t>Structured Cabling System @ Masfoot Station, as per the</t>
  </si>
  <si>
    <t>BPA 2522400879 with Alpha Data LLC.</t>
  </si>
  <si>
    <t>HQ Block D Control Room</t>
  </si>
  <si>
    <t>LPO Not processed</t>
  </si>
  <si>
    <t>HQ Data Center Passive Uplifting &amp; Modernization</t>
  </si>
  <si>
    <t>Madinat Zayed Station</t>
  </si>
  <si>
    <t>RAK Al Dhait Stn. Admin Block</t>
  </si>
  <si>
    <t>Baniyas Station AUH</t>
  </si>
  <si>
    <t>Description</t>
  </si>
  <si>
    <t>Line Item</t>
  </si>
  <si>
    <t>Exc VAT</t>
  </si>
  <si>
    <t>Invoiced Till Date</t>
  </si>
  <si>
    <t>Balance to be invoiced</t>
  </si>
  <si>
    <t>Tawfeeq</t>
  </si>
  <si>
    <t>Amit</t>
  </si>
  <si>
    <t>DATA HUB INTEGRATED SOLUTIONS MORO L.L.C.</t>
  </si>
  <si>
    <t>Development of Cyber360 Portal for DEWA</t>
  </si>
  <si>
    <t>DCO2409084</t>
  </si>
  <si>
    <t>Attendance Control Automation Errors In, In Out, Out</t>
  </si>
  <si>
    <t>DCO2502310</t>
  </si>
  <si>
    <t>Case Management Portal  Development project</t>
  </si>
  <si>
    <t>Cyber 360 CR</t>
  </si>
  <si>
    <t>Biometric machine (LPO # 540)</t>
  </si>
  <si>
    <t>DCO2600620</t>
  </si>
  <si>
    <t>Windows Workload Migration - Azure cloud Usage for 24-25 (LPO # 24000090/OX)</t>
  </si>
  <si>
    <t>DCO2406943</t>
  </si>
  <si>
    <t>Fortinet Refresh - HO VPN Firewall</t>
  </si>
  <si>
    <t>M365 Upgrade (7 Years)</t>
  </si>
  <si>
    <t>Managed Services - NOC, EUS &amp; Systems</t>
  </si>
  <si>
    <t>Labelling Machine Tapes (LPO # 4505925418)</t>
  </si>
  <si>
    <t>DCO2600942</t>
  </si>
  <si>
    <t>HP Switch SFP Modules</t>
  </si>
  <si>
    <t>Dabur International Limited (DXB)</t>
  </si>
  <si>
    <t>Naturelle LLC (RAK)</t>
  </si>
  <si>
    <t>On Hold</t>
  </si>
  <si>
    <t>DCO2601199</t>
  </si>
  <si>
    <t>Managed Services: Multiple IT Services 2026 (LPO # 42600429)</t>
  </si>
  <si>
    <t>Booked under Mitesh</t>
  </si>
  <si>
    <t>Al Asma Capital City</t>
  </si>
  <si>
    <t>DCO2507319 / DCO2601211</t>
  </si>
  <si>
    <t>DATA HUB INTEGRATED SOLUTIONS MORO L.L.C.
LPO # 3224000833
Description: Development of Cyber360 Portal for DEWA
DCO # DCO2409084</t>
  </si>
  <si>
    <t>Billing Value</t>
  </si>
  <si>
    <t>Billing Date</t>
  </si>
  <si>
    <t>Veeam Server Instance Renewal (LPO # 26000021)</t>
  </si>
  <si>
    <t>DCO2601352</t>
  </si>
  <si>
    <t>Team Integration with Telephony System and Call Center (LPO # 26000017)</t>
  </si>
  <si>
    <t>File Server Migration (LPO # 26000026)</t>
  </si>
  <si>
    <t>DCO2601283</t>
  </si>
  <si>
    <t>DCO2601531</t>
  </si>
  <si>
    <t>DCO2601512</t>
  </si>
  <si>
    <t>Total GP Value</t>
  </si>
  <si>
    <t>Managed Services - Systems Support - Jan 2026 (LPO # 534)</t>
  </si>
  <si>
    <t>Managed Services - Systems Support - Feb 2026 (LPO # 553)</t>
  </si>
  <si>
    <t>Name</t>
  </si>
  <si>
    <t>Designation</t>
  </si>
  <si>
    <t>Mobile Number</t>
  </si>
  <si>
    <t>Email ID</t>
  </si>
  <si>
    <t>Remarks</t>
  </si>
  <si>
    <t>Manager - Managed Services Sales</t>
  </si>
  <si>
    <t>971 557180121</t>
  </si>
  <si>
    <t>amitkumar@alphadxb.com</t>
  </si>
  <si>
    <t>POC for Requirements, contracts, LPO &amp; Relationship Management</t>
  </si>
  <si>
    <t>Operations Lead</t>
  </si>
  <si>
    <t>tarig@alphadxb.com</t>
  </si>
  <si>
    <t>POC for Day-to-Day operations related support</t>
  </si>
  <si>
    <t>Rammohan@alphadxb.com</t>
  </si>
  <si>
    <t>Rammohan Soundararajan</t>
  </si>
  <si>
    <t>Sr. Manager - Managed Services Ops</t>
  </si>
  <si>
    <t>POC for Service Delivery improvement</t>
  </si>
  <si>
    <t>Tarig Ammar</t>
  </si>
  <si>
    <t>971 501005355</t>
  </si>
  <si>
    <t>971 564645362</t>
  </si>
  <si>
    <t>Parvez A. Ahamed</t>
  </si>
  <si>
    <t>Director of Services</t>
  </si>
  <si>
    <t>971 504951062</t>
  </si>
  <si>
    <t>parvez@alphadxb.com</t>
  </si>
  <si>
    <t>POC for management level Escalation</t>
  </si>
  <si>
    <t>Jeswin Joseph</t>
  </si>
  <si>
    <t>Network Engineer</t>
  </si>
  <si>
    <t>jeswin@alphadxb.com</t>
  </si>
  <si>
    <t>Natarajan Gnanasekar</t>
  </si>
  <si>
    <t>Director- Digital Transformation</t>
  </si>
  <si>
    <t>natarajan@alphadxb.com</t>
  </si>
  <si>
    <t>971 508552324</t>
  </si>
  <si>
    <t>Mohammad Shahzada Khan</t>
  </si>
  <si>
    <t>Senior Network Engineer</t>
  </si>
  <si>
    <t>Shahzada@alphadxb.com</t>
  </si>
  <si>
    <t>971 543877689</t>
  </si>
  <si>
    <t>Obaidha Mydeen</t>
  </si>
  <si>
    <t>NOC Service Coordinator</t>
  </si>
  <si>
    <t>Obaidha@alphadxb.com</t>
  </si>
  <si>
    <t>971 43079799</t>
  </si>
  <si>
    <t>Faizan Akhtar</t>
  </si>
  <si>
    <t>Customer Support Engineer</t>
  </si>
  <si>
    <t>971 564585673</t>
  </si>
  <si>
    <t>faizan@alphadxb.com</t>
  </si>
  <si>
    <t>Faraz Ahmed</t>
  </si>
  <si>
    <t>System Administrator</t>
  </si>
  <si>
    <t>971 562096055</t>
  </si>
  <si>
    <t>faraz@alphadxb.com</t>
  </si>
  <si>
    <t>POC for Network Support</t>
  </si>
  <si>
    <t>POC for L1 Support</t>
  </si>
  <si>
    <t>POC for Systems Support</t>
  </si>
  <si>
    <t>POC for Division level support</t>
  </si>
  <si>
    <t>POC for NOC coordinator</t>
  </si>
  <si>
    <t>971 508020978</t>
  </si>
  <si>
    <t>Guest Wifi Management Portal (Captive)</t>
  </si>
  <si>
    <t>Adobe License (LPO # 4505967699)</t>
  </si>
  <si>
    <t>RFP: Mood Tracker</t>
  </si>
  <si>
    <t>Voxtron Contact Center Configuration</t>
  </si>
  <si>
    <t>Al Naboodah Construction Group  LLC</t>
  </si>
  <si>
    <t>IT Infrastructure Migration &amp; Separation</t>
  </si>
  <si>
    <t>LPO # 25000112</t>
  </si>
  <si>
    <t>Split 1</t>
  </si>
  <si>
    <t>Split 2</t>
  </si>
  <si>
    <t>Veeam VCSP O365 Renewal</t>
  </si>
  <si>
    <t>Start Date</t>
  </si>
  <si>
    <t>End Date</t>
  </si>
  <si>
    <t>IT Operations Managed Services</t>
  </si>
  <si>
    <t>DLP Services</t>
  </si>
  <si>
    <t>Microsoft Defender for Office 365 licenses</t>
  </si>
  <si>
    <t>DR Movement</t>
  </si>
  <si>
    <t>Fortinet 50G Firewall - 50 Units (LPO # 26000038)</t>
  </si>
  <si>
    <t>DCO2601876</t>
  </si>
  <si>
    <t>DCO2500201</t>
  </si>
  <si>
    <t>DCO2601784</t>
  </si>
  <si>
    <t>Transfer to Natarajan</t>
  </si>
  <si>
    <t>Adnan</t>
  </si>
  <si>
    <t>Cisco WAP - 5 Units</t>
  </si>
  <si>
    <t>Note to Pavi - As per Amit, will book and bill 100% Dec 2026 @ 45,850.56</t>
  </si>
  <si>
    <t>Note to Pavi - As per Amit, will book and bill 100% Dec 2026 @ 61,662.28</t>
  </si>
  <si>
    <t>Business Continuity (LPO # 2600044)</t>
  </si>
  <si>
    <t>Forti Token: 175</t>
  </si>
  <si>
    <t>Cisco Renewal (LPO # 10261)</t>
  </si>
  <si>
    <t>Technocom</t>
  </si>
  <si>
    <t>DCO2602509</t>
  </si>
  <si>
    <t>Amit 80%</t>
  </si>
  <si>
    <t>Amit 50%</t>
  </si>
  <si>
    <t>Committed</t>
  </si>
  <si>
    <t>Target 2026</t>
  </si>
  <si>
    <t>Forecasted</t>
  </si>
  <si>
    <t>Till March 2026</t>
  </si>
  <si>
    <t>April to Dec</t>
  </si>
  <si>
    <t>Microsoft Defender (MDO / EOP) for Office PS</t>
  </si>
  <si>
    <t>DCO2601464</t>
  </si>
  <si>
    <t>Forti Manager</t>
  </si>
  <si>
    <t>Wallix Addon Licenses + Upgrade</t>
  </si>
  <si>
    <t>Crowdstrike Addon Licenses</t>
  </si>
  <si>
    <t>Mimecast Renewal</t>
  </si>
  <si>
    <t>IBM Instana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</si>
</sst>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 applyNumberFormat="0" applyFill="0" applyBorder="0" applyAlignment="0" applyProtection="0"/>
  </cellStyleXfs>
  <cellXfs count="328">
    <xf numFmtId="0" fontId="0" fillId="0" borderId="0" xfId="0"/>
    <xf numFmtId="0" fontId="2" fillId="7" borderId="1" xfId="0" applyFont="1" applyFill="1" applyBorder="1" applyAlignment="1">
      <alignment horizontal="right"/>
    </xf>
    <xf numFmtId="43" fontId="4" fillId="0" borderId="0" xfId="1" applyFont="1"/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3" fontId="0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64" fontId="0" fillId="0" borderId="1" xfId="1" applyNumberFormat="1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43" fontId="7" fillId="3" borderId="1" xfId="1" applyFont="1" applyFill="1" applyBorder="1" applyAlignment="1">
      <alignment horizontal="center" vertical="center"/>
    </xf>
    <xf numFmtId="9" fontId="7" fillId="3" borderId="1" xfId="2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7" borderId="0" xfId="0" applyFont="1" applyFill="1"/>
    <xf numFmtId="14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43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3" fontId="0" fillId="0" borderId="1" xfId="1" applyFont="1" applyFill="1" applyBorder="1" applyAlignment="1"/>
    <xf numFmtId="9" fontId="0" fillId="0" borderId="1" xfId="2" applyFont="1" applyFill="1" applyBorder="1"/>
    <xf numFmtId="43" fontId="0" fillId="0" borderId="1" xfId="1" applyFont="1" applyFill="1" applyBorder="1" applyAlignment="1">
      <alignment vertical="center"/>
    </xf>
    <xf numFmtId="0" fontId="0" fillId="0" borderId="1" xfId="0" applyBorder="1"/>
    <xf numFmtId="43" fontId="2" fillId="0" borderId="0" xfId="0" applyNumberFormat="1" applyFont="1" applyAlignment="1">
      <alignment horizontal="center" vertical="center"/>
    </xf>
    <xf numFmtId="43" fontId="2" fillId="4" borderId="17" xfId="1" applyFont="1" applyFill="1" applyBorder="1" applyAlignment="1">
      <alignment horizontal="center" vertical="center"/>
    </xf>
    <xf numFmtId="43" fontId="2" fillId="2" borderId="17" xfId="1" applyFont="1" applyFill="1" applyBorder="1" applyAlignment="1">
      <alignment horizontal="center" vertical="center"/>
    </xf>
    <xf numFmtId="43" fontId="2" fillId="5" borderId="17" xfId="1" applyFont="1" applyFill="1" applyBorder="1" applyAlignment="1">
      <alignment horizontal="center" vertical="center"/>
    </xf>
    <xf numFmtId="43" fontId="2" fillId="9" borderId="17" xfId="1" applyFont="1" applyFill="1" applyBorder="1" applyAlignment="1">
      <alignment horizontal="center" vertical="center"/>
    </xf>
    <xf numFmtId="43" fontId="2" fillId="9" borderId="19" xfId="1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43" fontId="0" fillId="0" borderId="15" xfId="0" applyNumberFormat="1" applyBorder="1" applyAlignment="1">
      <alignment vertical="center"/>
    </xf>
    <xf numFmtId="43" fontId="0" fillId="0" borderId="15" xfId="0" applyNumberFormat="1" applyBorder="1" applyAlignment="1">
      <alignment horizontal="left" vertical="center"/>
    </xf>
    <xf numFmtId="43" fontId="0" fillId="0" borderId="15" xfId="1" applyFont="1" applyFill="1" applyBorder="1" applyAlignment="1">
      <alignment vertical="center"/>
    </xf>
    <xf numFmtId="9" fontId="0" fillId="0" borderId="15" xfId="2" applyFont="1" applyFill="1" applyBorder="1" applyAlignment="1">
      <alignment horizontal="right" vertical="center"/>
    </xf>
    <xf numFmtId="43" fontId="0" fillId="0" borderId="15" xfId="1" applyFont="1" applyFill="1" applyBorder="1" applyAlignment="1">
      <alignment horizontal="center" vertical="center"/>
    </xf>
    <xf numFmtId="9" fontId="0" fillId="0" borderId="15" xfId="1" applyNumberFormat="1" applyFont="1" applyFill="1" applyBorder="1" applyAlignment="1">
      <alignment horizontal="center" vertical="center"/>
    </xf>
    <xf numFmtId="43" fontId="0" fillId="0" borderId="15" xfId="2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3" fontId="0" fillId="0" borderId="0" xfId="0" applyNumberFormat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2" applyFont="1" applyFill="1" applyBorder="1" applyAlignment="1">
      <alignment horizontal="right" vertical="center"/>
    </xf>
    <xf numFmtId="43" fontId="0" fillId="0" borderId="1" xfId="1" applyFont="1" applyFill="1" applyBorder="1" applyAlignment="1">
      <alignment horizontal="center" vertical="center"/>
    </xf>
    <xf numFmtId="9" fontId="0" fillId="0" borderId="1" xfId="1" applyNumberFormat="1" applyFont="1" applyFill="1" applyBorder="1" applyAlignment="1">
      <alignment horizontal="center" vertical="center"/>
    </xf>
    <xf numFmtId="43" fontId="0" fillId="0" borderId="1" xfId="2" applyNumberFormat="1" applyFont="1" applyFill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 readingOrder="1"/>
    </xf>
    <xf numFmtId="17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43" fontId="0" fillId="0" borderId="15" xfId="0" applyNumberFormat="1" applyBorder="1" applyAlignment="1">
      <alignment horizontal="center" vertical="center" readingOrder="1"/>
    </xf>
    <xf numFmtId="43" fontId="2" fillId="0" borderId="15" xfId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left" vertical="center"/>
    </xf>
    <xf numFmtId="43" fontId="0" fillId="0" borderId="0" xfId="1" applyFont="1" applyFill="1" applyBorder="1" applyAlignment="1">
      <alignment vertical="center"/>
    </xf>
    <xf numFmtId="9" fontId="0" fillId="0" borderId="0" xfId="2" applyFont="1" applyFill="1" applyBorder="1" applyAlignment="1">
      <alignment horizontal="right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0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43" fontId="0" fillId="7" borderId="0" xfId="1" applyFont="1" applyFill="1" applyBorder="1" applyAlignment="1">
      <alignment vertical="center"/>
    </xf>
    <xf numFmtId="43" fontId="9" fillId="7" borderId="0" xfId="1" applyFont="1" applyFill="1" applyBorder="1" applyAlignment="1">
      <alignment vertical="center"/>
    </xf>
    <xf numFmtId="9" fontId="9" fillId="7" borderId="0" xfId="2" applyFont="1" applyFill="1" applyBorder="1" applyAlignment="1">
      <alignment vertical="center"/>
    </xf>
    <xf numFmtId="9" fontId="0" fillId="7" borderId="0" xfId="2" applyFont="1" applyFill="1" applyBorder="1" applyAlignment="1">
      <alignment vertical="center"/>
    </xf>
    <xf numFmtId="9" fontId="0" fillId="7" borderId="0" xfId="2" applyFont="1" applyFill="1" applyAlignment="1">
      <alignment vertical="center"/>
    </xf>
    <xf numFmtId="164" fontId="0" fillId="7" borderId="0" xfId="1" applyNumberFormat="1" applyFont="1" applyFill="1" applyAlignment="1">
      <alignment vertical="center"/>
    </xf>
    <xf numFmtId="0" fontId="10" fillId="7" borderId="1" xfId="0" applyFont="1" applyFill="1" applyBorder="1" applyAlignment="1">
      <alignment vertical="center"/>
    </xf>
    <xf numFmtId="43" fontId="9" fillId="7" borderId="0" xfId="2" applyNumberFormat="1" applyFont="1" applyFill="1" applyBorder="1" applyAlignment="1">
      <alignment vertical="center"/>
    </xf>
    <xf numFmtId="164" fontId="0" fillId="7" borderId="1" xfId="1" applyNumberFormat="1" applyFont="1" applyFill="1" applyBorder="1" applyAlignment="1">
      <alignment vertical="center"/>
    </xf>
    <xf numFmtId="43" fontId="0" fillId="7" borderId="0" xfId="1" applyFont="1" applyFill="1" applyBorder="1" applyAlignment="1">
      <alignment horizontal="left" vertical="center"/>
    </xf>
    <xf numFmtId="43" fontId="2" fillId="8" borderId="3" xfId="1" applyFont="1" applyFill="1" applyBorder="1" applyAlignment="1">
      <alignment vertical="center"/>
    </xf>
    <xf numFmtId="164" fontId="2" fillId="8" borderId="4" xfId="1" applyNumberFormat="1" applyFont="1" applyFill="1" applyBorder="1" applyAlignment="1">
      <alignment vertical="center"/>
    </xf>
    <xf numFmtId="43" fontId="2" fillId="14" borderId="1" xfId="1" applyFont="1" applyFill="1" applyBorder="1" applyAlignment="1">
      <alignment horizontal="left" vertical="center"/>
    </xf>
    <xf numFmtId="164" fontId="2" fillId="14" borderId="1" xfId="1" applyNumberFormat="1" applyFont="1" applyFill="1" applyBorder="1" applyAlignment="1">
      <alignment horizontal="right" vertical="center"/>
    </xf>
    <xf numFmtId="43" fontId="2" fillId="6" borderId="1" xfId="1" applyFont="1" applyFill="1" applyBorder="1" applyAlignment="1">
      <alignment horizontal="left" vertical="center"/>
    </xf>
    <xf numFmtId="164" fontId="2" fillId="6" borderId="1" xfId="1" applyNumberFormat="1" applyFont="1" applyFill="1" applyBorder="1" applyAlignment="1">
      <alignment vertical="center"/>
    </xf>
    <xf numFmtId="43" fontId="0" fillId="9" borderId="5" xfId="1" applyFont="1" applyFill="1" applyBorder="1" applyAlignment="1">
      <alignment vertical="center"/>
    </xf>
    <xf numFmtId="164" fontId="0" fillId="9" borderId="1" xfId="1" applyNumberFormat="1" applyFont="1" applyFill="1" applyBorder="1" applyAlignment="1">
      <alignment vertical="center"/>
    </xf>
    <xf numFmtId="43" fontId="0" fillId="14" borderId="1" xfId="1" applyFont="1" applyFill="1" applyBorder="1" applyAlignment="1">
      <alignment horizontal="left" vertical="center"/>
    </xf>
    <xf numFmtId="164" fontId="0" fillId="14" borderId="1" xfId="1" applyNumberFormat="1" applyFont="1" applyFill="1" applyBorder="1" applyAlignment="1">
      <alignment horizontal="right" vertical="center"/>
    </xf>
    <xf numFmtId="43" fontId="0" fillId="5" borderId="1" xfId="1" applyFont="1" applyFill="1" applyBorder="1" applyAlignment="1">
      <alignment horizontal="left" vertical="center"/>
    </xf>
    <xf numFmtId="164" fontId="0" fillId="5" borderId="1" xfId="1" applyNumberFormat="1" applyFont="1" applyFill="1" applyBorder="1" applyAlignment="1">
      <alignment horizontal="right" vertical="center"/>
    </xf>
    <xf numFmtId="2" fontId="0" fillId="7" borderId="0" xfId="0" applyNumberFormat="1" applyFill="1" applyAlignment="1">
      <alignment vertical="center"/>
    </xf>
    <xf numFmtId="43" fontId="0" fillId="9" borderId="5" xfId="1" applyFont="1" applyFill="1" applyBorder="1" applyAlignment="1">
      <alignment vertical="center" wrapText="1"/>
    </xf>
    <xf numFmtId="43" fontId="0" fillId="14" borderId="1" xfId="1" applyFont="1" applyFill="1" applyBorder="1" applyAlignment="1">
      <alignment horizontal="left" vertical="center" wrapText="1"/>
    </xf>
    <xf numFmtId="43" fontId="0" fillId="5" borderId="1" xfId="1" applyFont="1" applyFill="1" applyBorder="1" applyAlignment="1">
      <alignment horizontal="left" vertical="center" wrapText="1"/>
    </xf>
    <xf numFmtId="43" fontId="0" fillId="14" borderId="1" xfId="1" applyFont="1" applyFill="1" applyBorder="1" applyAlignment="1">
      <alignment horizontal="left" vertical="top"/>
    </xf>
    <xf numFmtId="43" fontId="0" fillId="5" borderId="1" xfId="1" applyFont="1" applyFill="1" applyBorder="1" applyAlignment="1">
      <alignment horizontal="left" vertical="top"/>
    </xf>
    <xf numFmtId="43" fontId="0" fillId="9" borderId="6" xfId="1" applyFont="1" applyFill="1" applyBorder="1" applyAlignment="1">
      <alignment vertical="center"/>
    </xf>
    <xf numFmtId="9" fontId="0" fillId="9" borderId="7" xfId="2" applyFont="1" applyFill="1" applyBorder="1" applyAlignment="1">
      <alignment vertical="center"/>
    </xf>
    <xf numFmtId="9" fontId="0" fillId="14" borderId="1" xfId="2" applyFont="1" applyFill="1" applyBorder="1" applyAlignment="1">
      <alignment horizontal="right" vertical="center"/>
    </xf>
    <xf numFmtId="9" fontId="0" fillId="5" borderId="1" xfId="2" applyFont="1" applyFill="1" applyBorder="1" applyAlignment="1">
      <alignment horizontal="right" vertical="center"/>
    </xf>
    <xf numFmtId="164" fontId="0" fillId="7" borderId="0" xfId="0" applyNumberFormat="1" applyFill="1" applyAlignment="1">
      <alignment vertical="center"/>
    </xf>
    <xf numFmtId="9" fontId="2" fillId="7" borderId="0" xfId="2" applyFont="1" applyFill="1" applyBorder="1" applyAlignment="1">
      <alignment vertical="center"/>
    </xf>
    <xf numFmtId="9" fontId="2" fillId="12" borderId="1" xfId="2" applyFont="1" applyFill="1" applyBorder="1" applyAlignment="1">
      <alignment horizontal="centerContinuous" vertical="center"/>
    </xf>
    <xf numFmtId="9" fontId="0" fillId="12" borderId="1" xfId="2" applyFont="1" applyFill="1" applyBorder="1" applyAlignment="1">
      <alignment horizontal="centerContinuous" vertical="center"/>
    </xf>
    <xf numFmtId="43" fontId="0" fillId="12" borderId="1" xfId="1" applyFont="1" applyFill="1" applyBorder="1" applyAlignment="1">
      <alignment horizontal="centerContinuous" vertical="center"/>
    </xf>
    <xf numFmtId="43" fontId="2" fillId="7" borderId="1" xfId="1" applyFont="1" applyFill="1" applyBorder="1" applyAlignment="1">
      <alignment horizontal="centerContinuous" vertical="center"/>
    </xf>
    <xf numFmtId="9" fontId="2" fillId="7" borderId="1" xfId="2" applyFont="1" applyFill="1" applyBorder="1" applyAlignment="1">
      <alignment horizontal="centerContinuous" vertical="center"/>
    </xf>
    <xf numFmtId="0" fontId="2" fillId="7" borderId="1" xfId="0" applyFont="1" applyFill="1" applyBorder="1" applyAlignment="1">
      <alignment horizontal="centerContinuous" vertical="center"/>
    </xf>
    <xf numFmtId="0" fontId="2" fillId="12" borderId="1" xfId="0" applyFont="1" applyFill="1" applyBorder="1" applyAlignment="1">
      <alignment horizontal="right" vertical="center"/>
    </xf>
    <xf numFmtId="9" fontId="2" fillId="12" borderId="1" xfId="2" applyFont="1" applyFill="1" applyBorder="1" applyAlignment="1">
      <alignment horizontal="right" vertical="center"/>
    </xf>
    <xf numFmtId="43" fontId="2" fillId="12" borderId="1" xfId="1" applyFont="1" applyFill="1" applyBorder="1" applyAlignment="1">
      <alignment horizontal="right" vertical="center"/>
    </xf>
    <xf numFmtId="43" fontId="2" fillId="8" borderId="1" xfId="1" applyFont="1" applyFill="1" applyBorder="1" applyAlignment="1">
      <alignment horizontal="center" vertical="center"/>
    </xf>
    <xf numFmtId="9" fontId="2" fillId="8" borderId="1" xfId="2" applyFont="1" applyFill="1" applyBorder="1" applyAlignment="1">
      <alignment horizontal="center" vertical="center"/>
    </xf>
    <xf numFmtId="9" fontId="2" fillId="15" borderId="1" xfId="2" applyFont="1" applyFill="1" applyBorder="1" applyAlignment="1">
      <alignment horizontal="center" vertical="center"/>
    </xf>
    <xf numFmtId="9" fontId="2" fillId="14" borderId="1" xfId="2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3" fontId="2" fillId="6" borderId="1" xfId="1" applyFont="1" applyFill="1" applyBorder="1" applyAlignment="1">
      <alignment horizontal="center" vertical="center"/>
    </xf>
    <xf numFmtId="9" fontId="2" fillId="6" borderId="1" xfId="2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64" fontId="2" fillId="7" borderId="0" xfId="1" applyNumberFormat="1" applyFont="1" applyFill="1" applyAlignment="1">
      <alignment horizontal="center" vertical="center"/>
    </xf>
    <xf numFmtId="17" fontId="2" fillId="7" borderId="1" xfId="0" applyNumberFormat="1" applyFont="1" applyFill="1" applyBorder="1" applyAlignment="1">
      <alignment horizontal="right" vertical="center"/>
    </xf>
    <xf numFmtId="164" fontId="2" fillId="7" borderId="1" xfId="1" applyNumberFormat="1" applyFont="1" applyFill="1" applyBorder="1" applyAlignment="1">
      <alignment horizontal="right" vertical="center"/>
    </xf>
    <xf numFmtId="164" fontId="2" fillId="10" borderId="1" xfId="1" applyNumberFormat="1" applyFont="1" applyFill="1" applyBorder="1" applyAlignment="1">
      <alignment vertical="center"/>
    </xf>
    <xf numFmtId="9" fontId="0" fillId="5" borderId="1" xfId="2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43" fontId="0" fillId="7" borderId="1" xfId="1" applyFont="1" applyFill="1" applyBorder="1" applyAlignment="1">
      <alignment vertical="center"/>
    </xf>
    <xf numFmtId="43" fontId="2" fillId="7" borderId="1" xfId="1" applyFont="1" applyFill="1" applyBorder="1" applyAlignment="1">
      <alignment vertical="center"/>
    </xf>
    <xf numFmtId="164" fontId="2" fillId="9" borderId="1" xfId="1" applyNumberFormat="1" applyFont="1" applyFill="1" applyBorder="1" applyAlignment="1">
      <alignment vertical="center"/>
    </xf>
    <xf numFmtId="9" fontId="2" fillId="9" borderId="1" xfId="2" applyFont="1" applyFill="1" applyBorder="1" applyAlignment="1">
      <alignment vertical="center"/>
    </xf>
    <xf numFmtId="164" fontId="2" fillId="14" borderId="1" xfId="1" applyNumberFormat="1" applyFont="1" applyFill="1" applyBorder="1" applyAlignment="1">
      <alignment vertical="center"/>
    </xf>
    <xf numFmtId="9" fontId="2" fillId="14" borderId="1" xfId="2" applyFont="1" applyFill="1" applyBorder="1" applyAlignment="1">
      <alignment vertical="center"/>
    </xf>
    <xf numFmtId="164" fontId="2" fillId="5" borderId="1" xfId="1" applyNumberFormat="1" applyFont="1" applyFill="1" applyBorder="1" applyAlignment="1">
      <alignment horizontal="left" vertical="center"/>
    </xf>
    <xf numFmtId="164" fontId="2" fillId="11" borderId="1" xfId="1" applyNumberFormat="1" applyFont="1" applyFill="1" applyBorder="1" applyAlignment="1">
      <alignment horizontal="left" vertical="center"/>
    </xf>
    <xf numFmtId="165" fontId="0" fillId="7" borderId="0" xfId="2" applyNumberFormat="1" applyFont="1" applyFill="1" applyBorder="1" applyAlignment="1">
      <alignment vertical="center"/>
    </xf>
    <xf numFmtId="43" fontId="0" fillId="7" borderId="0" xfId="0" applyNumberFormat="1" applyFill="1" applyAlignment="1">
      <alignment vertical="center"/>
    </xf>
    <xf numFmtId="10" fontId="0" fillId="7" borderId="0" xfId="2" applyNumberFormat="1" applyFont="1" applyFill="1" applyBorder="1" applyAlignment="1">
      <alignment vertical="center"/>
    </xf>
    <xf numFmtId="9" fontId="2" fillId="13" borderId="1" xfId="2" applyFont="1" applyFill="1" applyBorder="1" applyAlignment="1">
      <alignment horizontal="centerContinuous" vertical="center"/>
    </xf>
    <xf numFmtId="43" fontId="2" fillId="13" borderId="1" xfId="1" applyFont="1" applyFill="1" applyBorder="1" applyAlignment="1">
      <alignment horizontal="center" vertical="center"/>
    </xf>
    <xf numFmtId="9" fontId="2" fillId="13" borderId="1" xfId="2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right" vertical="center"/>
    </xf>
    <xf numFmtId="43" fontId="2" fillId="13" borderId="1" xfId="1" applyFont="1" applyFill="1" applyBorder="1" applyAlignment="1">
      <alignment horizontal="right" vertical="center"/>
    </xf>
    <xf numFmtId="43" fontId="2" fillId="7" borderId="0" xfId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vertical="center"/>
    </xf>
    <xf numFmtId="164" fontId="8" fillId="7" borderId="0" xfId="1" applyNumberFormat="1" applyFont="1" applyFill="1" applyBorder="1" applyAlignment="1">
      <alignment vertical="center"/>
    </xf>
    <xf numFmtId="43" fontId="0" fillId="7" borderId="0" xfId="1" applyFont="1" applyFill="1" applyAlignment="1">
      <alignment vertical="center"/>
    </xf>
    <xf numFmtId="9" fontId="11" fillId="7" borderId="1" xfId="2" applyFont="1" applyFill="1" applyBorder="1" applyAlignment="1">
      <alignment vertical="center"/>
    </xf>
    <xf numFmtId="164" fontId="12" fillId="7" borderId="1" xfId="1" applyNumberFormat="1" applyFont="1" applyFill="1" applyBorder="1" applyAlignment="1">
      <alignment vertical="center"/>
    </xf>
    <xf numFmtId="0" fontId="11" fillId="7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43" fontId="2" fillId="7" borderId="1" xfId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0" fillId="7" borderId="1" xfId="2" applyFont="1" applyFill="1" applyBorder="1" applyAlignment="1">
      <alignment vertical="center"/>
    </xf>
    <xf numFmtId="164" fontId="0" fillId="7" borderId="1" xfId="0" applyNumberForma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13" borderId="8" xfId="0" applyFont="1" applyFill="1" applyBorder="1" applyAlignment="1">
      <alignment horizontal="centerContinuous" vertical="center"/>
    </xf>
    <xf numFmtId="0" fontId="2" fillId="13" borderId="2" xfId="0" applyFont="1" applyFill="1" applyBorder="1" applyAlignment="1">
      <alignment horizontal="centerContinuous" vertical="center"/>
    </xf>
    <xf numFmtId="0" fontId="6" fillId="16" borderId="12" xfId="0" applyFont="1" applyFill="1" applyBorder="1" applyAlignment="1">
      <alignment horizontal="center" vertical="center"/>
    </xf>
    <xf numFmtId="0" fontId="6" fillId="16" borderId="13" xfId="0" applyFont="1" applyFill="1" applyBorder="1" applyAlignment="1">
      <alignment horizontal="center" vertical="center"/>
    </xf>
    <xf numFmtId="43" fontId="6" fillId="16" borderId="13" xfId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16" borderId="12" xfId="0" applyFont="1" applyFill="1" applyBorder="1" applyAlignment="1">
      <alignment horizontal="center" vertical="center"/>
    </xf>
    <xf numFmtId="14" fontId="4" fillId="16" borderId="13" xfId="0" applyNumberFormat="1" applyFont="1" applyFill="1" applyBorder="1" applyAlignment="1">
      <alignment horizontal="center" vertical="center"/>
    </xf>
    <xf numFmtId="0" fontId="4" fillId="16" borderId="13" xfId="0" applyFont="1" applyFill="1" applyBorder="1" applyAlignment="1">
      <alignment horizontal="center" vertical="center"/>
    </xf>
    <xf numFmtId="43" fontId="4" fillId="16" borderId="13" xfId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43" fontId="0" fillId="0" borderId="0" xfId="1" applyFont="1"/>
    <xf numFmtId="43" fontId="2" fillId="0" borderId="1" xfId="1" applyFont="1" applyBorder="1" applyAlignment="1">
      <alignment horizontal="center" vertical="center" wrapText="1"/>
    </xf>
    <xf numFmtId="43" fontId="0" fillId="0" borderId="0" xfId="1" applyFont="1" applyAlignment="1">
      <alignment vertical="center"/>
    </xf>
    <xf numFmtId="0" fontId="0" fillId="0" borderId="0" xfId="0" applyAlignment="1">
      <alignment vertical="center"/>
    </xf>
    <xf numFmtId="14" fontId="0" fillId="0" borderId="1" xfId="0" applyNumberForma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0" xfId="0" applyNumberFormat="1" applyAlignment="1">
      <alignment vertical="center"/>
    </xf>
    <xf numFmtId="43" fontId="0" fillId="0" borderId="0" xfId="1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1" applyNumberFormat="1" applyFont="1" applyAlignment="1">
      <alignment vertical="center"/>
    </xf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 applyAlignment="1">
      <alignment vertical="center"/>
    </xf>
    <xf numFmtId="0" fontId="0" fillId="17" borderId="1" xfId="0" applyFill="1" applyBorder="1" applyAlignment="1">
      <alignment vertical="center" wrapText="1"/>
    </xf>
    <xf numFmtId="14" fontId="0" fillId="17" borderId="1" xfId="0" applyNumberFormat="1" applyFill="1" applyBorder="1" applyAlignment="1">
      <alignment vertical="center"/>
    </xf>
    <xf numFmtId="164" fontId="2" fillId="17" borderId="1" xfId="1" applyNumberFormat="1" applyFont="1" applyFill="1" applyBorder="1" applyAlignment="1">
      <alignment vertical="center"/>
    </xf>
    <xf numFmtId="164" fontId="0" fillId="17" borderId="1" xfId="1" applyNumberFormat="1" applyFont="1" applyFill="1" applyBorder="1" applyAlignment="1">
      <alignment vertical="center"/>
    </xf>
    <xf numFmtId="43" fontId="0" fillId="17" borderId="1" xfId="1" applyFont="1" applyFill="1" applyBorder="1" applyAlignment="1">
      <alignment vertical="center"/>
    </xf>
    <xf numFmtId="0" fontId="0" fillId="17" borderId="0" xfId="0" applyFill="1" applyAlignment="1">
      <alignment vertical="center"/>
    </xf>
    <xf numFmtId="3" fontId="0" fillId="0" borderId="0" xfId="0" applyNumberFormat="1" applyAlignment="1">
      <alignment vertical="center"/>
    </xf>
    <xf numFmtId="0" fontId="5" fillId="0" borderId="1" xfId="6" applyBorder="1" applyAlignment="1"/>
    <xf numFmtId="0" fontId="5" fillId="0" borderId="1" xfId="6" applyFill="1" applyBorder="1" applyAlignment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164" fontId="1" fillId="7" borderId="1" xfId="1" applyNumberFormat="1" applyFont="1" applyFill="1" applyBorder="1" applyAlignment="1">
      <alignment horizontal="right" vertical="center"/>
    </xf>
    <xf numFmtId="164" fontId="1" fillId="9" borderId="1" xfId="1" applyNumberFormat="1" applyFont="1" applyFill="1" applyBorder="1" applyAlignment="1">
      <alignment vertical="center"/>
    </xf>
    <xf numFmtId="164" fontId="1" fillId="10" borderId="1" xfId="1" applyNumberFormat="1" applyFont="1" applyFill="1" applyBorder="1" applyAlignment="1">
      <alignment vertical="center"/>
    </xf>
    <xf numFmtId="9" fontId="1" fillId="9" borderId="1" xfId="2" applyFont="1" applyFill="1" applyBorder="1" applyAlignment="1">
      <alignment vertical="center"/>
    </xf>
    <xf numFmtId="164" fontId="1" fillId="14" borderId="1" xfId="1" applyNumberFormat="1" applyFont="1" applyFill="1" applyBorder="1" applyAlignment="1">
      <alignment vertical="center"/>
    </xf>
    <xf numFmtId="164" fontId="1" fillId="2" borderId="1" xfId="1" applyNumberFormat="1" applyFont="1" applyFill="1" applyBorder="1" applyAlignment="1">
      <alignment vertical="center"/>
    </xf>
    <xf numFmtId="9" fontId="1" fillId="14" borderId="1" xfId="2" applyFont="1" applyFill="1" applyBorder="1" applyAlignment="1">
      <alignment vertical="center"/>
    </xf>
    <xf numFmtId="164" fontId="1" fillId="5" borderId="1" xfId="1" applyNumberFormat="1" applyFont="1" applyFill="1" applyBorder="1" applyAlignment="1">
      <alignment horizontal="center" vertical="center"/>
    </xf>
    <xf numFmtId="164" fontId="1" fillId="11" borderId="1" xfId="1" applyNumberFormat="1" applyFont="1" applyFill="1" applyBorder="1" applyAlignment="1">
      <alignment vertical="center"/>
    </xf>
    <xf numFmtId="164" fontId="1" fillId="5" borderId="1" xfId="1" applyNumberFormat="1" applyFont="1" applyFill="1" applyBorder="1" applyAlignment="1">
      <alignment vertical="center"/>
    </xf>
    <xf numFmtId="9" fontId="1" fillId="5" borderId="1" xfId="2" applyFont="1" applyFill="1" applyBorder="1" applyAlignment="1">
      <alignment vertical="center"/>
    </xf>
    <xf numFmtId="164" fontId="1" fillId="11" borderId="1" xfId="1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43" fontId="2" fillId="0" borderId="1" xfId="0" applyNumberFormat="1" applyFont="1" applyBorder="1" applyAlignment="1">
      <alignment horizontal="left" vertical="center"/>
    </xf>
    <xf numFmtId="43" fontId="2" fillId="0" borderId="1" xfId="1" applyFont="1" applyFill="1" applyBorder="1" applyAlignment="1">
      <alignment vertical="center"/>
    </xf>
    <xf numFmtId="9" fontId="2" fillId="0" borderId="1" xfId="2" applyFont="1" applyFill="1" applyBorder="1" applyAlignment="1">
      <alignment horizontal="right" vertical="center"/>
    </xf>
    <xf numFmtId="9" fontId="2" fillId="0" borderId="1" xfId="1" applyNumberFormat="1" applyFont="1" applyFill="1" applyBorder="1" applyAlignment="1">
      <alignment horizontal="center" vertical="center"/>
    </xf>
    <xf numFmtId="43" fontId="2" fillId="0" borderId="1" xfId="2" applyNumberFormat="1" applyFont="1" applyFill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vertical="center"/>
    </xf>
    <xf numFmtId="14" fontId="2" fillId="18" borderId="1" xfId="0" applyNumberFormat="1" applyFont="1" applyFill="1" applyBorder="1" applyAlignment="1">
      <alignment horizontal="center" vertical="center"/>
    </xf>
    <xf numFmtId="43" fontId="2" fillId="18" borderId="1" xfId="0" applyNumberFormat="1" applyFont="1" applyFill="1" applyBorder="1" applyAlignment="1">
      <alignment horizontal="center" vertical="center"/>
    </xf>
    <xf numFmtId="43" fontId="2" fillId="18" borderId="1" xfId="0" applyNumberFormat="1" applyFont="1" applyFill="1" applyBorder="1" applyAlignment="1">
      <alignment vertical="center"/>
    </xf>
    <xf numFmtId="43" fontId="2" fillId="18" borderId="1" xfId="0" applyNumberFormat="1" applyFont="1" applyFill="1" applyBorder="1" applyAlignment="1">
      <alignment horizontal="left" vertical="center"/>
    </xf>
    <xf numFmtId="43" fontId="2" fillId="18" borderId="1" xfId="1" applyFont="1" applyFill="1" applyBorder="1" applyAlignment="1">
      <alignment vertical="center"/>
    </xf>
    <xf numFmtId="9" fontId="2" fillId="18" borderId="1" xfId="2" applyFont="1" applyFill="1" applyBorder="1" applyAlignment="1">
      <alignment horizontal="right" vertical="center"/>
    </xf>
    <xf numFmtId="43" fontId="2" fillId="18" borderId="1" xfId="1" applyFont="1" applyFill="1" applyBorder="1" applyAlignment="1">
      <alignment horizontal="center" vertical="center"/>
    </xf>
    <xf numFmtId="9" fontId="2" fillId="18" borderId="1" xfId="1" applyNumberFormat="1" applyFont="1" applyFill="1" applyBorder="1" applyAlignment="1">
      <alignment horizontal="center" vertical="center"/>
    </xf>
    <xf numFmtId="43" fontId="2" fillId="18" borderId="1" xfId="2" applyNumberFormat="1" applyFont="1" applyFill="1" applyBorder="1" applyAlignment="1">
      <alignment horizontal="center" vertical="center"/>
    </xf>
    <xf numFmtId="17" fontId="2" fillId="18" borderId="1" xfId="0" applyNumberFormat="1" applyFont="1" applyFill="1" applyBorder="1" applyAlignment="1">
      <alignment horizontal="center" vertical="center"/>
    </xf>
    <xf numFmtId="43" fontId="2" fillId="18" borderId="0" xfId="0" applyNumberFormat="1" applyFont="1" applyFill="1" applyAlignment="1">
      <alignment vertical="center"/>
    </xf>
    <xf numFmtId="14" fontId="8" fillId="0" borderId="1" xfId="0" applyNumberFormat="1" applyFont="1" applyBorder="1" applyAlignment="1">
      <alignment horizontal="center"/>
    </xf>
    <xf numFmtId="4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3" fontId="8" fillId="0" borderId="1" xfId="0" applyNumberFormat="1" applyFont="1" applyBorder="1" applyAlignment="1">
      <alignment vertical="center"/>
    </xf>
    <xf numFmtId="43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43" fontId="8" fillId="0" borderId="1" xfId="1" applyFont="1" applyFill="1" applyBorder="1" applyAlignment="1"/>
    <xf numFmtId="9" fontId="8" fillId="0" borderId="1" xfId="2" applyFont="1" applyFill="1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Fill="1" applyBorder="1" applyAlignment="1"/>
    <xf numFmtId="9" fontId="2" fillId="0" borderId="1" xfId="2" applyFont="1" applyFill="1" applyBorder="1"/>
    <xf numFmtId="0" fontId="2" fillId="18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 readingOrder="1"/>
    </xf>
    <xf numFmtId="9" fontId="2" fillId="0" borderId="1" xfId="0" applyNumberFormat="1" applyFont="1" applyBorder="1"/>
    <xf numFmtId="43" fontId="2" fillId="18" borderId="1" xfId="1" applyFont="1" applyFill="1" applyBorder="1" applyAlignment="1"/>
    <xf numFmtId="9" fontId="2" fillId="18" borderId="1" xfId="0" applyNumberFormat="1" applyFont="1" applyFill="1" applyBorder="1"/>
    <xf numFmtId="43" fontId="2" fillId="18" borderId="1" xfId="0" applyNumberFormat="1" applyFont="1" applyFill="1" applyBorder="1" applyAlignment="1">
      <alignment horizontal="center" vertical="center" readingOrder="1"/>
    </xf>
    <xf numFmtId="43" fontId="8" fillId="0" borderId="1" xfId="1" applyFont="1" applyFill="1" applyBorder="1" applyAlignment="1">
      <alignment vertical="center"/>
    </xf>
    <xf numFmtId="43" fontId="8" fillId="0" borderId="1" xfId="1" applyFont="1" applyFill="1" applyBorder="1" applyAlignment="1">
      <alignment horizontal="center" vertical="center"/>
    </xf>
    <xf numFmtId="9" fontId="8" fillId="0" borderId="1" xfId="1" applyNumberFormat="1" applyFont="1" applyFill="1" applyBorder="1" applyAlignment="1">
      <alignment horizontal="center" vertical="center"/>
    </xf>
    <xf numFmtId="43" fontId="8" fillId="0" borderId="1" xfId="2" applyNumberFormat="1" applyFont="1" applyFill="1" applyBorder="1" applyAlignment="1">
      <alignment horizontal="center" vertical="center"/>
    </xf>
    <xf numFmtId="17" fontId="8" fillId="0" borderId="1" xfId="0" applyNumberFormat="1" applyFont="1" applyBorder="1" applyAlignment="1">
      <alignment horizontal="center" vertical="center"/>
    </xf>
    <xf numFmtId="43" fontId="8" fillId="0" borderId="1" xfId="0" applyNumberFormat="1" applyFont="1" applyBorder="1" applyAlignment="1">
      <alignment horizontal="center" vertical="center" readingOrder="1"/>
    </xf>
    <xf numFmtId="43" fontId="8" fillId="0" borderId="0" xfId="0" applyNumberFormat="1" applyFont="1" applyAlignment="1">
      <alignment vertical="center"/>
    </xf>
    <xf numFmtId="14" fontId="2" fillId="18" borderId="1" xfId="0" applyNumberFormat="1" applyFont="1" applyFill="1" applyBorder="1" applyAlignment="1">
      <alignment horizontal="center"/>
    </xf>
    <xf numFmtId="9" fontId="2" fillId="18" borderId="1" xfId="2" applyFont="1" applyFill="1" applyBorder="1"/>
    <xf numFmtId="0" fontId="0" fillId="7" borderId="0" xfId="0" applyFill="1"/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3" fontId="1" fillId="7" borderId="1" xfId="1" applyFont="1" applyFill="1" applyBorder="1" applyAlignment="1"/>
    <xf numFmtId="9" fontId="1" fillId="7" borderId="1" xfId="2" applyFont="1" applyFill="1" applyBorder="1"/>
    <xf numFmtId="0" fontId="0" fillId="7" borderId="1" xfId="0" applyFill="1" applyBorder="1"/>
    <xf numFmtId="0" fontId="0" fillId="7" borderId="0" xfId="0" applyFill="1" applyAlignment="1">
      <alignment horizontal="center"/>
    </xf>
    <xf numFmtId="43" fontId="1" fillId="7" borderId="0" xfId="1" applyFont="1" applyFill="1" applyBorder="1" applyAlignment="1"/>
    <xf numFmtId="9" fontId="1" fillId="7" borderId="0" xfId="2" applyFont="1" applyFill="1"/>
    <xf numFmtId="0" fontId="0" fillId="7" borderId="0" xfId="0" applyFill="1" applyAlignment="1">
      <alignment horizontal="center" wrapText="1"/>
    </xf>
    <xf numFmtId="14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43" fontId="2" fillId="7" borderId="1" xfId="1" applyFont="1" applyFill="1" applyBorder="1" applyAlignment="1"/>
    <xf numFmtId="9" fontId="2" fillId="7" borderId="1" xfId="2" applyFont="1" applyFill="1" applyBorder="1"/>
    <xf numFmtId="43" fontId="0" fillId="7" borderId="1" xfId="0" applyNumberFormat="1" applyFill="1" applyBorder="1" applyAlignment="1">
      <alignment horizontal="center" vertical="center"/>
    </xf>
    <xf numFmtId="43" fontId="0" fillId="7" borderId="1" xfId="0" applyNumberFormat="1" applyFill="1" applyBorder="1" applyAlignment="1">
      <alignment vertical="center"/>
    </xf>
    <xf numFmtId="43" fontId="0" fillId="7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wrapText="1"/>
    </xf>
    <xf numFmtId="14" fontId="8" fillId="7" borderId="1" xfId="0" applyNumberFormat="1" applyFont="1" applyFill="1" applyBorder="1" applyAlignment="1">
      <alignment horizontal="center"/>
    </xf>
    <xf numFmtId="43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43" fontId="8" fillId="7" borderId="1" xfId="0" applyNumberFormat="1" applyFont="1" applyFill="1" applyBorder="1" applyAlignment="1">
      <alignment vertical="center"/>
    </xf>
    <xf numFmtId="43" fontId="8" fillId="7" borderId="1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43" fontId="8" fillId="7" borderId="1" xfId="1" applyFont="1" applyFill="1" applyBorder="1" applyAlignment="1"/>
    <xf numFmtId="9" fontId="8" fillId="7" borderId="1" xfId="2" applyFont="1" applyFill="1" applyBorder="1"/>
    <xf numFmtId="9" fontId="8" fillId="7" borderId="1" xfId="0" applyNumberFormat="1" applyFont="1" applyFill="1" applyBorder="1" applyAlignment="1">
      <alignment horizontal="center" wrapText="1"/>
    </xf>
    <xf numFmtId="0" fontId="8" fillId="7" borderId="0" xfId="0" applyFont="1" applyFill="1"/>
    <xf numFmtId="9" fontId="8" fillId="7" borderId="1" xfId="0" applyNumberFormat="1" applyFont="1" applyFill="1" applyBorder="1"/>
    <xf numFmtId="9" fontId="8" fillId="7" borderId="1" xfId="0" applyNumberFormat="1" applyFont="1" applyFill="1" applyBorder="1" applyAlignment="1">
      <alignment horizontal="center"/>
    </xf>
    <xf numFmtId="43" fontId="2" fillId="7" borderId="1" xfId="0" applyNumberFormat="1" applyFont="1" applyFill="1" applyBorder="1" applyAlignment="1">
      <alignment horizontal="center" vertical="center"/>
    </xf>
    <xf numFmtId="43" fontId="2" fillId="7" borderId="1" xfId="0" applyNumberFormat="1" applyFont="1" applyFill="1" applyBorder="1" applyAlignment="1">
      <alignment vertical="center"/>
    </xf>
    <xf numFmtId="43" fontId="2" fillId="7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 wrapText="1"/>
    </xf>
    <xf numFmtId="9" fontId="2" fillId="7" borderId="1" xfId="0" applyNumberFormat="1" applyFont="1" applyFill="1" applyBorder="1" applyAlignment="1">
      <alignment horizontal="center" wrapText="1"/>
    </xf>
    <xf numFmtId="43" fontId="2" fillId="7" borderId="0" xfId="0" applyNumberFormat="1" applyFont="1" applyFill="1"/>
    <xf numFmtId="17" fontId="0" fillId="0" borderId="0" xfId="0" applyNumberFormat="1"/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43" fontId="2" fillId="2" borderId="21" xfId="1" applyFont="1" applyFill="1" applyBorder="1" applyAlignment="1">
      <alignment horizontal="center" vertical="center"/>
    </xf>
    <xf numFmtId="43" fontId="2" fillId="4" borderId="21" xfId="1" applyFont="1" applyFill="1" applyBorder="1" applyAlignment="1">
      <alignment horizontal="center" vertical="center"/>
    </xf>
    <xf numFmtId="43" fontId="2" fillId="9" borderId="21" xfId="1" applyFont="1" applyFill="1" applyBorder="1" applyAlignment="1">
      <alignment horizontal="center" vertical="center"/>
    </xf>
    <xf numFmtId="43" fontId="2" fillId="9" borderId="22" xfId="1" applyFont="1" applyFill="1" applyBorder="1" applyAlignment="1">
      <alignment horizontal="center" vertical="center"/>
    </xf>
    <xf numFmtId="43" fontId="2" fillId="5" borderId="21" xfId="1" applyFont="1" applyFill="1" applyBorder="1" applyAlignment="1">
      <alignment horizontal="center" vertical="center"/>
    </xf>
    <xf numFmtId="14" fontId="7" fillId="3" borderId="3" xfId="0" applyNumberFormat="1" applyFont="1" applyFill="1" applyBorder="1" applyAlignment="1">
      <alignment horizontal="center" vertical="center"/>
    </xf>
    <xf numFmtId="14" fontId="7" fillId="3" borderId="6" xfId="0" applyNumberFormat="1" applyFont="1" applyFill="1" applyBorder="1" applyAlignment="1">
      <alignment horizontal="center" vertical="center"/>
    </xf>
    <xf numFmtId="43" fontId="7" fillId="3" borderId="4" xfId="0" applyNumberFormat="1" applyFont="1" applyFill="1" applyBorder="1" applyAlignment="1">
      <alignment horizontal="center" vertical="center" wrapText="1"/>
    </xf>
    <xf numFmtId="43" fontId="7" fillId="3" borderId="7" xfId="0" applyNumberFormat="1" applyFont="1" applyFill="1" applyBorder="1" applyAlignment="1">
      <alignment horizontal="center" vertical="center" wrapText="1"/>
    </xf>
    <xf numFmtId="43" fontId="7" fillId="3" borderId="4" xfId="0" applyNumberFormat="1" applyFont="1" applyFill="1" applyBorder="1" applyAlignment="1">
      <alignment horizontal="center" vertical="center"/>
    </xf>
    <xf numFmtId="43" fontId="7" fillId="3" borderId="7" xfId="0" applyNumberFormat="1" applyFont="1" applyFill="1" applyBorder="1" applyAlignment="1">
      <alignment horizontal="center" vertical="center"/>
    </xf>
    <xf numFmtId="43" fontId="2" fillId="4" borderId="20" xfId="1" applyFont="1" applyFill="1" applyBorder="1" applyAlignment="1">
      <alignment horizontal="center" vertical="center"/>
    </xf>
    <xf numFmtId="43" fontId="7" fillId="3" borderId="18" xfId="0" applyNumberFormat="1" applyFont="1" applyFill="1" applyBorder="1" applyAlignment="1">
      <alignment horizontal="center" vertical="center"/>
    </xf>
    <xf numFmtId="9" fontId="7" fillId="3" borderId="4" xfId="2" applyFont="1" applyFill="1" applyBorder="1" applyAlignment="1">
      <alignment horizontal="center" vertical="center"/>
    </xf>
    <xf numFmtId="9" fontId="7" fillId="3" borderId="7" xfId="2" applyFont="1" applyFill="1" applyBorder="1" applyAlignment="1">
      <alignment horizontal="center" vertical="center"/>
    </xf>
    <xf numFmtId="0" fontId="6" fillId="16" borderId="9" xfId="0" applyFont="1" applyFill="1" applyBorder="1" applyAlignment="1">
      <alignment horizontal="center" vertical="center"/>
    </xf>
    <xf numFmtId="0" fontId="6" fillId="16" borderId="10" xfId="0" applyFont="1" applyFill="1" applyBorder="1" applyAlignment="1">
      <alignment horizontal="center" vertical="center"/>
    </xf>
    <xf numFmtId="0" fontId="6" fillId="16" borderId="11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/>
    </xf>
    <xf numFmtId="0" fontId="4" fillId="16" borderId="12" xfId="0" applyFont="1" applyFill="1" applyBorder="1" applyAlignment="1">
      <alignment horizontal="center" vertical="center"/>
    </xf>
    <xf numFmtId="14" fontId="4" fillId="16" borderId="14" xfId="0" applyNumberFormat="1" applyFont="1" applyFill="1" applyBorder="1" applyAlignment="1">
      <alignment horizontal="center" vertical="center"/>
    </xf>
    <xf numFmtId="14" fontId="4" fillId="16" borderId="12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43" fontId="4" fillId="16" borderId="14" xfId="1" applyFont="1" applyFill="1" applyBorder="1" applyAlignment="1">
      <alignment horizontal="center" vertical="center"/>
    </xf>
    <xf numFmtId="43" fontId="4" fillId="16" borderId="12" xfId="1" applyFont="1" applyFill="1" applyBorder="1" applyAlignment="1">
      <alignment horizontal="center" vertical="center"/>
    </xf>
    <xf numFmtId="43" fontId="2" fillId="0" borderId="23" xfId="1" applyFont="1" applyBorder="1" applyAlignment="1">
      <alignment horizontal="center" vertical="center"/>
    </xf>
    <xf numFmtId="43" fontId="2" fillId="0" borderId="24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</cellXfs>
  <cellStyles count="7">
    <cellStyle name="Comma" xfId="1" builtinId="3"/>
    <cellStyle name="Comma 2" xfId="3" xr:uid="{92BDB108-496F-4E0F-BF42-59B46BBF804B}"/>
    <cellStyle name="Hyperlink" xfId="6" builtinId="8"/>
    <cellStyle name="Normal" xfId="0" builtinId="0"/>
    <cellStyle name="Normal 2" xfId="5" xr:uid="{6EB15DA5-CE09-4FD5-91E2-77561310FADB}"/>
    <cellStyle name="Normal 3" xfId="4" xr:uid="{8AE35BE6-5577-4B13-9152-1BC670B68EA3}"/>
    <cellStyle name="Percent" xfId="2" builtinId="5"/>
  </cellStyles>
  <dxfs count="51">
    <dxf>
      <font>
        <color rgb="FF9C5700"/>
      </font>
      <fill>
        <patternFill>
          <bgColor rgb="FFFFEB9C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it Gandhi" id="{456B1AB9-1370-4D64-B36E-94A1A51ECFE8}" userId="S::amitkumar@alphadxb.com::de741d25-b1c1-46f5-8193-6f639a45b3c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9" dT="2026-02-27T08:36:45.62" personId="{456B1AB9-1370-4D64-B36E-94A1A51ECFE8}" id="{526E9CB6-510B-4394-8F3D-5610322D0BC7}">
    <text>149000 x 3 = 447000 (Feb 2026)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" dT="2026-01-19T12:36:38.77" personId="{456B1AB9-1370-4D64-B36E-94A1A51ECFE8}" id="{777A05E6-51C9-49EE-817D-A4C0DE64D032}">
    <text>30/6/25</text>
  </threadedComment>
  <threadedComment ref="L2" dT="2026-01-19T12:32:45.09" personId="{456B1AB9-1370-4D64-B36E-94A1A51ECFE8}" id="{B08B0F71-38AF-430D-9AD5-616A59403654}">
    <text>28/11/25</text>
  </threadedComment>
  <threadedComment ref="K14" dT="2026-01-19T12:35:00.58" personId="{456B1AB9-1370-4D64-B36E-94A1A51ECFE8}" id="{BD412C7D-D3F3-4C3D-9301-9B6C68D5B06B}">
    <text>13/12/24</text>
  </threadedComment>
  <threadedComment ref="L14" dT="2026-01-19T12:35:35.79" personId="{456B1AB9-1370-4D64-B36E-94A1A51ECFE8}" id="{B25CD609-4C1C-4A89-A420-4D9BD0A57F4F}">
    <text>4/2/25</text>
  </threadedComment>
  <threadedComment ref="M14" dT="2026-01-19T12:35:43.97" personId="{456B1AB9-1370-4D64-B36E-94A1A51ECFE8}" id="{1AAB79F8-094F-47D4-8DDC-985FD94B6F44}">
    <text>29/4/25</text>
  </threadedComment>
  <threadedComment ref="N14" dT="2026-01-19T12:31:35.68" personId="{456B1AB9-1370-4D64-B36E-94A1A51ECFE8}" id="{839F8FF3-A160-4486-8CB4-CA8C22EBFAC8}">
    <text>11/9/25</text>
  </threadedComment>
  <threadedComment ref="O14" dT="2026-01-19T12:31:45.53" personId="{456B1AB9-1370-4D64-B36E-94A1A51ECFE8}" id="{1847588A-3AE5-4635-BAF5-27AE68E7E368}">
    <text>31/10/25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Obaidha@alphadxb.com" TargetMode="External"/><Relationship Id="rId3" Type="http://schemas.openxmlformats.org/officeDocument/2006/relationships/hyperlink" Target="mailto:Rammohan@alphadxb.com" TargetMode="External"/><Relationship Id="rId7" Type="http://schemas.openxmlformats.org/officeDocument/2006/relationships/hyperlink" Target="mailto:Shahzada@alphadxb.com" TargetMode="External"/><Relationship Id="rId2" Type="http://schemas.openxmlformats.org/officeDocument/2006/relationships/hyperlink" Target="mailto:tarig@alphadxb.com" TargetMode="External"/><Relationship Id="rId1" Type="http://schemas.openxmlformats.org/officeDocument/2006/relationships/hyperlink" Target="mailto:amitkumar@alphadxb.com" TargetMode="External"/><Relationship Id="rId6" Type="http://schemas.openxmlformats.org/officeDocument/2006/relationships/hyperlink" Target="mailto:natarajan@alphadxb.com" TargetMode="External"/><Relationship Id="rId5" Type="http://schemas.openxmlformats.org/officeDocument/2006/relationships/hyperlink" Target="mailto:jeswin@alphadxb.com" TargetMode="External"/><Relationship Id="rId10" Type="http://schemas.openxmlformats.org/officeDocument/2006/relationships/hyperlink" Target="mailto:faraz@alphadxb.com" TargetMode="External"/><Relationship Id="rId4" Type="http://schemas.openxmlformats.org/officeDocument/2006/relationships/hyperlink" Target="mailto:parvez@alphadxb.com" TargetMode="External"/><Relationship Id="rId9" Type="http://schemas.openxmlformats.org/officeDocument/2006/relationships/hyperlink" Target="mailto:faizan@alphadx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58"/>
  <sheetViews>
    <sheetView topLeftCell="A3" zoomScaleNormal="100" workbookViewId="0">
      <selection activeCell="G5" sqref="G5"/>
    </sheetView>
  </sheetViews>
  <sheetFormatPr defaultColWidth="8.81640625" defaultRowHeight="14.5" x14ac:dyDescent="0.35"/>
  <cols>
    <col min="1" max="1" width="2.1796875" style="66" customWidth="1"/>
    <col min="2" max="2" width="26.81640625" style="66" bestFit="1" customWidth="1"/>
    <col min="3" max="3" width="14.453125" style="66" bestFit="1" customWidth="1"/>
    <col min="4" max="4" width="21.81640625" style="66" bestFit="1" customWidth="1"/>
    <col min="5" max="5" width="13.1796875" style="67" bestFit="1" customWidth="1"/>
    <col min="6" max="6" width="22.81640625" style="67" customWidth="1"/>
    <col min="7" max="7" width="15" style="67" bestFit="1" customWidth="1"/>
    <col min="8" max="8" width="14.54296875" style="67" bestFit="1" customWidth="1"/>
    <col min="9" max="9" width="17.81640625" style="67" bestFit="1" customWidth="1"/>
    <col min="10" max="10" width="20.81640625" style="70" bestFit="1" customWidth="1"/>
    <col min="11" max="11" width="14.81640625" style="70" customWidth="1"/>
    <col min="12" max="12" width="12.81640625" style="70" bestFit="1" customWidth="1"/>
    <col min="13" max="13" width="13.54296875" style="70" bestFit="1" customWidth="1"/>
    <col min="14" max="14" width="13.81640625" style="70" bestFit="1" customWidth="1"/>
    <col min="15" max="15" width="14.81640625" style="70" hidden="1" customWidth="1"/>
    <col min="16" max="16" width="12.81640625" style="67" bestFit="1" customWidth="1"/>
    <col min="17" max="17" width="13.453125" style="66" bestFit="1" customWidth="1"/>
    <col min="18" max="18" width="13.54296875" style="66" bestFit="1" customWidth="1"/>
    <col min="19" max="19" width="13.81640625" style="71" bestFit="1" customWidth="1"/>
    <col min="20" max="20" width="5" style="66" customWidth="1"/>
    <col min="21" max="21" width="5.1796875" style="66" customWidth="1"/>
    <col min="22" max="22" width="12.90625" style="72" bestFit="1" customWidth="1"/>
    <col min="23" max="23" width="12.81640625" style="72" bestFit="1" customWidth="1"/>
    <col min="24" max="24" width="11.1796875" style="66" bestFit="1" customWidth="1"/>
    <col min="25" max="16384" width="8.81640625" style="66"/>
  </cols>
  <sheetData>
    <row r="1" spans="2:23" x14ac:dyDescent="0.35">
      <c r="I1" s="68">
        <v>6</v>
      </c>
      <c r="J1" s="68">
        <v>100</v>
      </c>
      <c r="K1" s="69"/>
      <c r="L1" s="69"/>
    </row>
    <row r="2" spans="2:23" ht="18.5" x14ac:dyDescent="0.35">
      <c r="B2" s="194" t="s">
        <v>0</v>
      </c>
      <c r="C2" s="73" t="s">
        <v>1</v>
      </c>
      <c r="D2" s="155"/>
      <c r="E2" s="155"/>
      <c r="F2" s="155"/>
      <c r="I2" s="68">
        <v>100000</v>
      </c>
      <c r="J2" s="68">
        <f>(I2*J1)/I1</f>
        <v>1666666.6666666667</v>
      </c>
      <c r="K2" s="68">
        <f>29650*12</f>
        <v>355800</v>
      </c>
      <c r="L2" s="74">
        <f>K2+J2</f>
        <v>2022466.6666666667</v>
      </c>
    </row>
    <row r="3" spans="2:23" x14ac:dyDescent="0.35">
      <c r="B3" s="67"/>
      <c r="C3" s="67"/>
      <c r="D3" s="67"/>
    </row>
    <row r="4" spans="2:23" ht="15" thickBot="1" x14ac:dyDescent="0.4">
      <c r="B4" s="67"/>
      <c r="C4" s="67"/>
      <c r="D4" s="67"/>
      <c r="E4" s="75">
        <v>4</v>
      </c>
      <c r="F4" s="76" t="s">
        <v>2</v>
      </c>
    </row>
    <row r="5" spans="2:23" x14ac:dyDescent="0.35">
      <c r="B5" s="77" t="s">
        <v>3</v>
      </c>
      <c r="C5" s="78">
        <v>11449233</v>
      </c>
      <c r="D5" s="79" t="s">
        <v>4</v>
      </c>
      <c r="E5" s="80">
        <v>8085686</v>
      </c>
      <c r="F5" s="81" t="s">
        <v>5</v>
      </c>
      <c r="G5" s="82">
        <v>1959079</v>
      </c>
      <c r="H5" s="67" t="s">
        <v>6</v>
      </c>
    </row>
    <row r="6" spans="2:23" x14ac:dyDescent="0.35">
      <c r="B6" s="83" t="s">
        <v>7</v>
      </c>
      <c r="C6" s="84">
        <f>C5/12*E4</f>
        <v>3816411</v>
      </c>
      <c r="D6" s="85" t="s">
        <v>7</v>
      </c>
      <c r="E6" s="86">
        <f>E5/12*E4</f>
        <v>2695228.6666666665</v>
      </c>
      <c r="F6" s="87" t="s">
        <v>7</v>
      </c>
      <c r="G6" s="88">
        <f>G5/12*E4</f>
        <v>653026.33333333337</v>
      </c>
      <c r="Q6" s="89"/>
    </row>
    <row r="7" spans="2:23" ht="29" x14ac:dyDescent="0.35">
      <c r="B7" s="90" t="s">
        <v>8</v>
      </c>
      <c r="C7" s="84">
        <f>SUM(H14:H16)</f>
        <v>3349251.2732765959</v>
      </c>
      <c r="D7" s="91" t="s">
        <v>9</v>
      </c>
      <c r="E7" s="86">
        <f>SUM(L14:L16)</f>
        <v>2052120.0200000003</v>
      </c>
      <c r="F7" s="92" t="s">
        <v>9</v>
      </c>
      <c r="G7" s="88">
        <f>SUM(Q14:Q16)</f>
        <v>395614.75000000006</v>
      </c>
      <c r="S7" s="70"/>
    </row>
    <row r="8" spans="2:23" x14ac:dyDescent="0.35">
      <c r="B8" s="90" t="s">
        <v>10</v>
      </c>
      <c r="C8" s="84">
        <f>H17</f>
        <v>1066082.3402777775</v>
      </c>
      <c r="D8" s="93" t="s">
        <v>10</v>
      </c>
      <c r="E8" s="86">
        <f>L17</f>
        <v>673493.1602777777</v>
      </c>
      <c r="F8" s="94" t="s">
        <v>10</v>
      </c>
      <c r="G8" s="88">
        <f>Q17</f>
        <v>109925.89391763175</v>
      </c>
    </row>
    <row r="9" spans="2:23" x14ac:dyDescent="0.35">
      <c r="B9" s="83" t="s">
        <v>11</v>
      </c>
      <c r="C9" s="84">
        <f>(C8+C7)-C6</f>
        <v>598922.61355437338</v>
      </c>
      <c r="D9" s="85" t="s">
        <v>11</v>
      </c>
      <c r="E9" s="86">
        <f>(E8+E7)-E6</f>
        <v>30384.513611111324</v>
      </c>
      <c r="F9" s="87" t="s">
        <v>11</v>
      </c>
      <c r="G9" s="88">
        <f>(G8+G7)-G6</f>
        <v>-147485.68941570155</v>
      </c>
    </row>
    <row r="10" spans="2:23" ht="15" thickBot="1" x14ac:dyDescent="0.4">
      <c r="B10" s="95" t="s">
        <v>12</v>
      </c>
      <c r="C10" s="96">
        <f>C9/C6</f>
        <v>0.15693346800288893</v>
      </c>
      <c r="D10" s="85" t="s">
        <v>12</v>
      </c>
      <c r="E10" s="97">
        <f>E9/E6</f>
        <v>1.1273445547271312E-2</v>
      </c>
      <c r="F10" s="87" t="s">
        <v>12</v>
      </c>
      <c r="G10" s="98">
        <f>G9/G6</f>
        <v>-0.22584952839936756</v>
      </c>
      <c r="Q10" s="99"/>
    </row>
    <row r="11" spans="2:23" x14ac:dyDescent="0.35">
      <c r="B11" s="100"/>
      <c r="C11" s="100"/>
      <c r="D11" s="70"/>
    </row>
    <row r="12" spans="2:23" x14ac:dyDescent="0.35">
      <c r="B12" s="101" t="s">
        <v>13</v>
      </c>
      <c r="C12" s="101"/>
      <c r="D12" s="102"/>
      <c r="E12" s="103"/>
      <c r="F12" s="104" t="s">
        <v>14</v>
      </c>
      <c r="G12" s="104"/>
      <c r="H12" s="104"/>
      <c r="I12" s="104"/>
      <c r="J12" s="105"/>
      <c r="K12" s="105"/>
      <c r="L12" s="105"/>
      <c r="M12" s="105"/>
      <c r="N12" s="105"/>
      <c r="O12" s="105"/>
      <c r="P12" s="104"/>
      <c r="Q12" s="106"/>
      <c r="R12" s="106"/>
      <c r="S12" s="105"/>
      <c r="T12" s="106"/>
    </row>
    <row r="13" spans="2:23" s="118" customFormat="1" x14ac:dyDescent="0.35">
      <c r="B13" s="107"/>
      <c r="C13" s="108" t="s">
        <v>15</v>
      </c>
      <c r="D13" s="109" t="s">
        <v>16</v>
      </c>
      <c r="E13" s="109" t="s">
        <v>17</v>
      </c>
      <c r="F13" s="110"/>
      <c r="G13" s="110" t="s">
        <v>18</v>
      </c>
      <c r="H13" s="110" t="s">
        <v>19</v>
      </c>
      <c r="I13" s="110" t="s">
        <v>20</v>
      </c>
      <c r="J13" s="111" t="s">
        <v>21</v>
      </c>
      <c r="K13" s="112" t="s">
        <v>22</v>
      </c>
      <c r="L13" s="112" t="s">
        <v>23</v>
      </c>
      <c r="M13" s="112" t="s">
        <v>24</v>
      </c>
      <c r="N13" s="112" t="s">
        <v>25</v>
      </c>
      <c r="O13" s="113"/>
      <c r="P13" s="114" t="s">
        <v>26</v>
      </c>
      <c r="Q13" s="115" t="s">
        <v>27</v>
      </c>
      <c r="R13" s="114" t="s">
        <v>28</v>
      </c>
      <c r="S13" s="116" t="s">
        <v>25</v>
      </c>
      <c r="T13" s="117"/>
      <c r="V13" s="119" t="s">
        <v>49</v>
      </c>
      <c r="W13" s="119" t="s">
        <v>226</v>
      </c>
    </row>
    <row r="14" spans="2:23" x14ac:dyDescent="0.35">
      <c r="B14" s="120">
        <v>46023</v>
      </c>
      <c r="C14" s="195">
        <f>SUMIF('Booking &amp; Billing Forecast'!O:O,Summary!B:B,'Booking &amp; Billing Forecast'!G:G)</f>
        <v>914900</v>
      </c>
      <c r="D14" s="195">
        <f>SUMIF('Booking &amp; Billing Forecast'!O:O,Summary!B:B,'Booking &amp; Billing Forecast'!I:I)</f>
        <v>914900</v>
      </c>
      <c r="E14" s="195">
        <f>SUMIF('Booking &amp; Billing Forecast'!O:O,Summary!B:B,'Booking &amp; Billing Forecast'!M:M)</f>
        <v>260020</v>
      </c>
      <c r="F14" s="120">
        <v>46023</v>
      </c>
      <c r="G14" s="196">
        <f>C5/12*1</f>
        <v>954102.75</v>
      </c>
      <c r="H14" s="197">
        <f>SUM('Booking &amp; Billing Forecast'!Q:Q)</f>
        <v>1441947.432</v>
      </c>
      <c r="I14" s="196">
        <f>H14-G14</f>
        <v>487844.68200000003</v>
      </c>
      <c r="J14" s="198">
        <f>I14/G14</f>
        <v>0.51131252058544008</v>
      </c>
      <c r="K14" s="199">
        <f>E5/12*1</f>
        <v>673807.16666666663</v>
      </c>
      <c r="L14" s="200">
        <f>SUM('Booking &amp; Billing Forecast'!R:R)</f>
        <v>385468.34</v>
      </c>
      <c r="M14" s="199">
        <f>L14-K14</f>
        <v>-288338.8266666666</v>
      </c>
      <c r="N14" s="201">
        <f>M14/K14</f>
        <v>-0.4279248439773693</v>
      </c>
      <c r="O14" s="201"/>
      <c r="P14" s="202">
        <f>G5/12*1</f>
        <v>163256.58333333334</v>
      </c>
      <c r="Q14" s="203">
        <f>SUM('Booking &amp; Billing Forecast'!S:S)</f>
        <v>122159.73999999999</v>
      </c>
      <c r="R14" s="204">
        <f>Q14-P14</f>
        <v>-41096.843333333352</v>
      </c>
      <c r="S14" s="205">
        <f>R14/P14</f>
        <v>-0.25173161470262312</v>
      </c>
      <c r="T14" s="124"/>
      <c r="V14" s="72">
        <v>268227</v>
      </c>
      <c r="W14" s="72">
        <f>V14+Q14</f>
        <v>390386.74</v>
      </c>
    </row>
    <row r="15" spans="2:23" x14ac:dyDescent="0.35">
      <c r="B15" s="120">
        <v>46054</v>
      </c>
      <c r="C15" s="195">
        <f>SUMIF('Booking &amp; Billing Forecast'!O:O,Summary!B:B,'Booking &amp; Billing Forecast'!G:G)</f>
        <v>1357381.7132765958</v>
      </c>
      <c r="D15" s="195">
        <f>SUMIF('Booking &amp; Billing Forecast'!O:O,Summary!B:B,'Booking &amp; Billing Forecast'!I:I)</f>
        <v>552267.94647659583</v>
      </c>
      <c r="E15" s="195">
        <f>SUMIF('Booking &amp; Billing Forecast'!O:O,Summary!B:B,'Booking &amp; Billing Forecast'!M:M)</f>
        <v>106273.97323829787</v>
      </c>
      <c r="F15" s="120">
        <v>46054</v>
      </c>
      <c r="G15" s="196">
        <f>C5/12*2</f>
        <v>1908205.5</v>
      </c>
      <c r="H15" s="197">
        <f>SUM('Booking &amp; Billing Forecast'!T:T)</f>
        <v>1227211.52</v>
      </c>
      <c r="I15" s="196">
        <f>SUM(H14:H15)-G15</f>
        <v>760953.45200000005</v>
      </c>
      <c r="J15" s="198">
        <f t="shared" ref="J15:J25" si="0">I15/G15</f>
        <v>0.39877961362127928</v>
      </c>
      <c r="K15" s="199">
        <f>E5/12*2</f>
        <v>1347614.3333333333</v>
      </c>
      <c r="L15" s="200">
        <f>SUM('Booking &amp; Billing Forecast'!U:U)</f>
        <v>1016686.2700000001</v>
      </c>
      <c r="M15" s="199">
        <f>SUM(L14:L15)-K15</f>
        <v>54540.276666666847</v>
      </c>
      <c r="N15" s="201">
        <f t="shared" ref="N15:N25" si="1">M15/K15</f>
        <v>4.0471724971758868E-2</v>
      </c>
      <c r="O15" s="201"/>
      <c r="P15" s="202">
        <f>G5/12*2</f>
        <v>326513.16666666669</v>
      </c>
      <c r="Q15" s="203">
        <f>SUM('Booking &amp; Billing Forecast'!V:V)</f>
        <v>156474.24000000005</v>
      </c>
      <c r="R15" s="204">
        <f>SUM(Q14:Q15)-P15</f>
        <v>-47879.186666666646</v>
      </c>
      <c r="S15" s="205">
        <f>R15/P15</f>
        <v>-0.14663784359895637</v>
      </c>
      <c r="T15" s="124"/>
      <c r="V15" s="72">
        <v>853720</v>
      </c>
      <c r="W15" s="72">
        <f>V15+Q15</f>
        <v>1010194.24</v>
      </c>
    </row>
    <row r="16" spans="2:23" x14ac:dyDescent="0.35">
      <c r="B16" s="120">
        <v>46082</v>
      </c>
      <c r="C16" s="195">
        <f>SUMIF('Booking &amp; Billing Forecast'!O:O,Summary!B:B,'Booking &amp; Billing Forecast'!G:G)</f>
        <v>1149449.330277778</v>
      </c>
      <c r="D16" s="195">
        <f>SUMIF('Booking &amp; Billing Forecast'!O:O,Summary!B:B,'Booking &amp; Billing Forecast'!I:I)</f>
        <v>1146609.330277778</v>
      </c>
      <c r="E16" s="195">
        <f>SUMIF('Booking &amp; Billing Forecast'!O:O,Summary!B:B,'Booking &amp; Billing Forecast'!M:M)</f>
        <v>149834.84432128893</v>
      </c>
      <c r="F16" s="120">
        <v>46082</v>
      </c>
      <c r="G16" s="196">
        <f>C5/12*3</f>
        <v>2862308.25</v>
      </c>
      <c r="H16" s="197">
        <f>SUM('Booking &amp; Billing Forecast'!W:W)</f>
        <v>680092.3212765957</v>
      </c>
      <c r="I16" s="196">
        <f>SUM(H14:H16)-G16</f>
        <v>486943.02327659586</v>
      </c>
      <c r="J16" s="198">
        <f t="shared" si="0"/>
        <v>0.17012249581315914</v>
      </c>
      <c r="K16" s="199">
        <f>E5/12*3</f>
        <v>2021421.5</v>
      </c>
      <c r="L16" s="200">
        <f>SUM('Booking &amp; Billing Forecast'!X:X)</f>
        <v>649965.41000000015</v>
      </c>
      <c r="M16" s="199">
        <f>SUM(L14:L16)-K16</f>
        <v>30698.520000000251</v>
      </c>
      <c r="N16" s="201">
        <f t="shared" si="1"/>
        <v>1.5186600122735537E-2</v>
      </c>
      <c r="O16" s="201"/>
      <c r="P16" s="202">
        <f>G5/12*3</f>
        <v>489769.75</v>
      </c>
      <c r="Q16" s="206">
        <f>SUM('Booking &amp; Billing Forecast'!Y:Y)</f>
        <v>116980.77000000003</v>
      </c>
      <c r="R16" s="204">
        <f>SUM(Q14:Q16)-P16</f>
        <v>-94154.999999999942</v>
      </c>
      <c r="S16" s="205">
        <f t="shared" ref="S16:S25" si="2">R16/P16</f>
        <v>-0.19224339600393847</v>
      </c>
      <c r="T16" s="124" t="s">
        <v>29</v>
      </c>
    </row>
    <row r="17" spans="2:20" x14ac:dyDescent="0.35">
      <c r="B17" s="120">
        <v>46113</v>
      </c>
      <c r="C17" s="195">
        <f>SUMIF('Booking &amp; Billing Forecast'!O:O,Summary!B:B,'Booking &amp; Billing Forecast'!G:G)</f>
        <v>1309877.8400000001</v>
      </c>
      <c r="D17" s="195">
        <f>SUMIF('Booking &amp; Billing Forecast'!O:O,Summary!B:B,'Booking &amp; Billing Forecast'!I:I)</f>
        <v>146283.46323199986</v>
      </c>
      <c r="E17" s="195">
        <f>SUMIF('Booking &amp; Billing Forecast'!O:O,Summary!B:B,'Booking &amp; Billing Forecast'!M:M)</f>
        <v>73141.731615999932</v>
      </c>
      <c r="F17" s="120">
        <v>46113</v>
      </c>
      <c r="G17" s="196">
        <f>C5/12*4</f>
        <v>3816411</v>
      </c>
      <c r="H17" s="197">
        <f>SUM('Booking &amp; Billing Forecast'!Z:Z)</f>
        <v>1066082.3402777775</v>
      </c>
      <c r="I17" s="196">
        <f>SUM(H14:H17)-G17</f>
        <v>598922.61355437338</v>
      </c>
      <c r="J17" s="198">
        <f t="shared" si="0"/>
        <v>0.15693346800288893</v>
      </c>
      <c r="K17" s="199">
        <f>E5/12*4</f>
        <v>2695228.6666666665</v>
      </c>
      <c r="L17" s="200">
        <f>SUM('Booking &amp; Billing Forecast'!AA:AA)</f>
        <v>673493.1602777777</v>
      </c>
      <c r="M17" s="199">
        <f>SUM(L14:L17)-K17</f>
        <v>30384.513611111324</v>
      </c>
      <c r="N17" s="201">
        <f t="shared" si="1"/>
        <v>1.1273445547271312E-2</v>
      </c>
      <c r="O17" s="201"/>
      <c r="P17" s="202">
        <f>G5/12*4</f>
        <v>653026.33333333337</v>
      </c>
      <c r="Q17" s="203">
        <f>SUM('Booking &amp; Billing Forecast'!AB:AB)</f>
        <v>109925.89391763175</v>
      </c>
      <c r="R17" s="204">
        <f>SUM(Q14:Q17)-P17</f>
        <v>-147485.68941570155</v>
      </c>
      <c r="S17" s="205">
        <f t="shared" si="2"/>
        <v>-0.22584952839936756</v>
      </c>
      <c r="T17" s="124"/>
    </row>
    <row r="18" spans="2:20" x14ac:dyDescent="0.35">
      <c r="B18" s="120">
        <v>46143</v>
      </c>
      <c r="C18" s="195">
        <f>SUMIF('Booking &amp; Billing Forecast'!O:O,Summary!B:B,'Booking &amp; Billing Forecast'!G:G)</f>
        <v>1694431.2482602871</v>
      </c>
      <c r="D18" s="195">
        <f>SUMIF('Booking &amp; Billing Forecast'!O:O,Summary!B:B,'Booking &amp; Billing Forecast'!I:I)</f>
        <v>1398367.1954602869</v>
      </c>
      <c r="E18" s="195">
        <f>SUMIF('Booking &amp; Billing Forecast'!O:O,Summary!B:B,'Booking &amp; Billing Forecast'!M:M)</f>
        <v>189603.59773014349</v>
      </c>
      <c r="F18" s="120">
        <v>46143</v>
      </c>
      <c r="G18" s="196">
        <f>C5/12*5</f>
        <v>4770513.75</v>
      </c>
      <c r="H18" s="197">
        <f>SUM('Booking &amp; Billing Forecast'!AC:AC)</f>
        <v>1339802.293576777</v>
      </c>
      <c r="I18" s="196">
        <f>SUM(H14:H18)-G18</f>
        <v>984622.15713115036</v>
      </c>
      <c r="J18" s="198">
        <f t="shared" si="0"/>
        <v>0.20639750952004915</v>
      </c>
      <c r="K18" s="199">
        <f>E5/12*5</f>
        <v>3369035.833333333</v>
      </c>
      <c r="L18" s="200">
        <f>SUM('Booking &amp; Billing Forecast'!AD:AD)</f>
        <v>637489.99411483877</v>
      </c>
      <c r="M18" s="199">
        <f>SUM(L14:L18)-K18</f>
        <v>-5932.6589407166466</v>
      </c>
      <c r="N18" s="201">
        <f t="shared" si="1"/>
        <v>-1.7609367291433224E-3</v>
      </c>
      <c r="O18" s="201"/>
      <c r="P18" s="202">
        <f>G5/12*5</f>
        <v>816282.91666666674</v>
      </c>
      <c r="Q18" s="203">
        <f>SUM('Booking &amp; Billing Forecast'!AE:AE)</f>
        <v>96729.340836162286</v>
      </c>
      <c r="R18" s="204">
        <f>SUM(Q14:Q18)-P18</f>
        <v>-214012.93191287259</v>
      </c>
      <c r="S18" s="205">
        <f t="shared" si="2"/>
        <v>-0.26217984909791497</v>
      </c>
      <c r="T18" s="124"/>
    </row>
    <row r="19" spans="2:20" x14ac:dyDescent="0.35">
      <c r="B19" s="120">
        <v>46174</v>
      </c>
      <c r="C19" s="195">
        <f>SUMIF('Booking &amp; Billing Forecast'!O:O,Summary!B:B,'Booking &amp; Billing Forecast'!G:G)</f>
        <v>1426344.37</v>
      </c>
      <c r="D19" s="195">
        <f>SUMIF('Booking &amp; Billing Forecast'!O:O,Summary!B:B,'Booking &amp; Billing Forecast'!I:I)</f>
        <v>1426344.37</v>
      </c>
      <c r="E19" s="195">
        <f>SUMIF('Booking &amp; Billing Forecast'!O:O,Summary!B:B,'Booking &amp; Billing Forecast'!M:M)</f>
        <v>143319.08229760005</v>
      </c>
      <c r="F19" s="120">
        <v>46174</v>
      </c>
      <c r="G19" s="196">
        <f>C5/12*6</f>
        <v>5724616.5</v>
      </c>
      <c r="H19" s="197">
        <f>SUM('Booking &amp; Billing Forecast'!AF:AF)</f>
        <v>944579.46048250934</v>
      </c>
      <c r="I19" s="196">
        <f>SUM(H14:H19)-G19</f>
        <v>975098.86761366017</v>
      </c>
      <c r="J19" s="198">
        <f t="shared" si="0"/>
        <v>0.17033435647849252</v>
      </c>
      <c r="K19" s="199">
        <f>E5/12*6</f>
        <v>4042843</v>
      </c>
      <c r="L19" s="200">
        <f>SUM('Booking &amp; Billing Forecast'!AG:AG)</f>
        <v>686531.71641850914</v>
      </c>
      <c r="M19" s="199">
        <f>SUM(L14:L19)-K19</f>
        <v>6791.8908111257479</v>
      </c>
      <c r="N19" s="201">
        <f t="shared" si="1"/>
        <v>1.6799788691091264E-3</v>
      </c>
      <c r="O19" s="201"/>
      <c r="P19" s="202">
        <f>G5/12*6</f>
        <v>979539.5</v>
      </c>
      <c r="Q19" s="203">
        <f>SUM('Booking &amp; Billing Forecast'!AH:AH)</f>
        <v>121247.7019879975</v>
      </c>
      <c r="R19" s="204">
        <f>SUM(Q14:Q19)-P19</f>
        <v>-256021.81325820833</v>
      </c>
      <c r="S19" s="205">
        <f t="shared" si="2"/>
        <v>-0.26136956524796429</v>
      </c>
      <c r="T19" s="124" t="s">
        <v>30</v>
      </c>
    </row>
    <row r="20" spans="2:20" x14ac:dyDescent="0.35">
      <c r="B20" s="120">
        <v>46204</v>
      </c>
      <c r="C20" s="195">
        <f>SUMIF('Booking &amp; Billing Forecast'!O:O,Summary!B:B,'Booking &amp; Billing Forecast'!G:G)</f>
        <v>816653.04579899902</v>
      </c>
      <c r="D20" s="195">
        <f>SUMIF('Booking &amp; Billing Forecast'!O:O,Summary!B:B,'Booking &amp; Billing Forecast'!I:I)</f>
        <v>67009.31440106107</v>
      </c>
      <c r="E20" s="195">
        <f>SUMIF('Booking &amp; Billing Forecast'!O:O,Summary!B:B,'Booking &amp; Billing Forecast'!M:M)</f>
        <v>33504.657200530535</v>
      </c>
      <c r="F20" s="120">
        <v>46204</v>
      </c>
      <c r="G20" s="196">
        <f>C5/12*7</f>
        <v>6678719.25</v>
      </c>
      <c r="H20" s="197">
        <f>SUM('Booking &amp; Billing Forecast'!AI:AI)</f>
        <v>675827.78</v>
      </c>
      <c r="I20" s="196">
        <f>SUM(H14:H20)-G20</f>
        <v>696823.89761366043</v>
      </c>
      <c r="J20" s="198">
        <f t="shared" si="0"/>
        <v>0.10433495877426804</v>
      </c>
      <c r="K20" s="199">
        <f>E5/12*7</f>
        <v>4716650.166666666</v>
      </c>
      <c r="L20" s="200">
        <f>SUM('Booking &amp; Billing Forecast'!AJ:AJ)</f>
        <v>574960.37193599995</v>
      </c>
      <c r="M20" s="199">
        <f>SUM(L14:L20)-K20</f>
        <v>-92054.903919540346</v>
      </c>
      <c r="N20" s="201">
        <f t="shared" si="1"/>
        <v>-1.9517009035375853E-2</v>
      </c>
      <c r="O20" s="201"/>
      <c r="P20" s="202">
        <f>G5/12*7</f>
        <v>1142796.0833333335</v>
      </c>
      <c r="Q20" s="203">
        <f>SUM('Booking &amp; Billing Forecast'!AK:AK)</f>
        <v>79934.764746742861</v>
      </c>
      <c r="R20" s="204">
        <f>SUM(Q14:Q20)-P20</f>
        <v>-339343.63184479892</v>
      </c>
      <c r="S20" s="205">
        <f t="shared" si="2"/>
        <v>-0.29694154258473981</v>
      </c>
      <c r="T20" s="124"/>
    </row>
    <row r="21" spans="2:20" x14ac:dyDescent="0.35">
      <c r="B21" s="120">
        <v>46235</v>
      </c>
      <c r="C21" s="195">
        <f>SUMIF('Booking &amp; Billing Forecast'!O:O,Summary!B:B,'Booking &amp; Billing Forecast'!G:G)</f>
        <v>0</v>
      </c>
      <c r="D21" s="195">
        <f>SUMIF('Booking &amp; Billing Forecast'!O:O,Summary!B:B,'Booking &amp; Billing Forecast'!I:I)</f>
        <v>0</v>
      </c>
      <c r="E21" s="195">
        <f>SUMIF('Booking &amp; Billing Forecast'!O:O,Summary!B:B,'Booking &amp; Billing Forecast'!M:M)</f>
        <v>0</v>
      </c>
      <c r="F21" s="120">
        <v>46235</v>
      </c>
      <c r="G21" s="196">
        <f>C5/12*8</f>
        <v>7632822</v>
      </c>
      <c r="H21" s="197">
        <f>SUM('Booking &amp; Billing Forecast'!AL:AL)</f>
        <v>340333.29</v>
      </c>
      <c r="I21" s="196">
        <f>SUM(H14:H21)-G21</f>
        <v>83054.43761366047</v>
      </c>
      <c r="J21" s="198">
        <f t="shared" si="0"/>
        <v>1.0881222909909397E-2</v>
      </c>
      <c r="K21" s="199">
        <f>E5/12*8</f>
        <v>5390457.333333333</v>
      </c>
      <c r="L21" s="200">
        <f>SUM('Booking &amp; Billing Forecast'!AM:AM)</f>
        <v>239574.88193599999</v>
      </c>
      <c r="M21" s="199">
        <f>SUM(L14:L21)-K21</f>
        <v>-526287.18865020759</v>
      </c>
      <c r="N21" s="201">
        <f t="shared" si="1"/>
        <v>-9.7633123890206897E-2</v>
      </c>
      <c r="O21" s="201"/>
      <c r="P21" s="202">
        <f>G5/12*8</f>
        <v>1306052.6666666667</v>
      </c>
      <c r="Q21" s="203">
        <f>SUM('Booking &amp; Billing Forecast'!AN:AN)</f>
        <v>43466.440967999995</v>
      </c>
      <c r="R21" s="204">
        <f>SUM(Q14:Q21)-P21</f>
        <v>-459133.77421013219</v>
      </c>
      <c r="S21" s="205">
        <f t="shared" si="2"/>
        <v>-0.35154307780094535</v>
      </c>
      <c r="T21" s="124"/>
    </row>
    <row r="22" spans="2:20" x14ac:dyDescent="0.35">
      <c r="B22" s="120">
        <v>46266</v>
      </c>
      <c r="C22" s="195">
        <f>SUMIF('Booking &amp; Billing Forecast'!O:O,Summary!B:B,'Booking &amp; Billing Forecast'!G:G)</f>
        <v>0</v>
      </c>
      <c r="D22" s="195">
        <f>SUMIF('Booking &amp; Billing Forecast'!O:O,Summary!B:B,'Booking &amp; Billing Forecast'!I:I)</f>
        <v>0</v>
      </c>
      <c r="E22" s="195">
        <f>SUMIF('Booking &amp; Billing Forecast'!O:O,Summary!B:B,'Booking &amp; Billing Forecast'!M:M)</f>
        <v>0</v>
      </c>
      <c r="F22" s="120">
        <v>46266</v>
      </c>
      <c r="G22" s="196">
        <f>C5/12*9</f>
        <v>8586924.75</v>
      </c>
      <c r="H22" s="197">
        <f>SUM('Booking &amp; Billing Forecast'!AO:AO)</f>
        <v>331693.28999999998</v>
      </c>
      <c r="I22" s="196">
        <f>SUM(H14:H22)-G22</f>
        <v>-539355.02238633949</v>
      </c>
      <c r="J22" s="198">
        <f t="shared" si="0"/>
        <v>-6.2811197033762228E-2</v>
      </c>
      <c r="K22" s="199">
        <f>E5/12*9</f>
        <v>6064264.5</v>
      </c>
      <c r="L22" s="200">
        <f>SUM('Booking &amp; Billing Forecast'!AP:AP)</f>
        <v>238883.68193599998</v>
      </c>
      <c r="M22" s="199">
        <f>SUM(L14:L22)-K22</f>
        <v>-961210.67338087503</v>
      </c>
      <c r="N22" s="201">
        <f t="shared" si="1"/>
        <v>-0.15850408130794344</v>
      </c>
      <c r="O22" s="201"/>
      <c r="P22" s="202">
        <f>G5/12*9</f>
        <v>1469309.25</v>
      </c>
      <c r="Q22" s="203">
        <f>SUM('Booking &amp; Billing Forecast'!AQ:AQ)</f>
        <v>43120.840967999997</v>
      </c>
      <c r="R22" s="204">
        <f>SUM(Q14:Q22)-P22</f>
        <v>-579269.51657546544</v>
      </c>
      <c r="S22" s="205">
        <f t="shared" si="2"/>
        <v>-0.39424615109138217</v>
      </c>
      <c r="T22" s="124" t="s">
        <v>31</v>
      </c>
    </row>
    <row r="23" spans="2:20" x14ac:dyDescent="0.35">
      <c r="B23" s="120">
        <v>46296</v>
      </c>
      <c r="C23" s="195">
        <f>SUMIF('Booking &amp; Billing Forecast'!O:O,Summary!B:B,'Booking &amp; Billing Forecast'!G:G)</f>
        <v>0</v>
      </c>
      <c r="D23" s="195">
        <f>SUMIF('Booking &amp; Billing Forecast'!O:O,Summary!B:B,'Booking &amp; Billing Forecast'!I:I)</f>
        <v>0</v>
      </c>
      <c r="E23" s="195">
        <f>SUMIF('Booking &amp; Billing Forecast'!O:O,Summary!B:B,'Booking &amp; Billing Forecast'!M:M)</f>
        <v>0</v>
      </c>
      <c r="F23" s="120">
        <v>46296</v>
      </c>
      <c r="G23" s="196">
        <f>C5/12*10</f>
        <v>9541027.5</v>
      </c>
      <c r="H23" s="197">
        <f>SUM('Booking &amp; Billing Forecast'!AR:AR)</f>
        <v>495058.99999999977</v>
      </c>
      <c r="I23" s="196">
        <f>SUM(H14:H23)-G23</f>
        <v>-998398.77238634042</v>
      </c>
      <c r="J23" s="198">
        <f t="shared" si="0"/>
        <v>-0.10464268889135268</v>
      </c>
      <c r="K23" s="199">
        <f>E5/12*10</f>
        <v>6738071.666666666</v>
      </c>
      <c r="L23" s="200">
        <f>SUM('Booking &amp; Billing Forecast'!AS:AS)</f>
        <v>237173.90355199989</v>
      </c>
      <c r="M23" s="199">
        <f>SUM(L14:L23)-K23</f>
        <v>-1397843.9364955416</v>
      </c>
      <c r="N23" s="201">
        <f t="shared" si="1"/>
        <v>-0.20745459615852632</v>
      </c>
      <c r="O23" s="201"/>
      <c r="P23" s="202">
        <f>G5/12*10</f>
        <v>1632565.8333333335</v>
      </c>
      <c r="Q23" s="203">
        <f>SUM('Booking &amp; Billing Forecast'!AT:AT)</f>
        <v>45832.85677599995</v>
      </c>
      <c r="R23" s="204">
        <f>SUM(Q14:Q23)-P23</f>
        <v>-696693.24313279893</v>
      </c>
      <c r="S23" s="205">
        <f t="shared" si="2"/>
        <v>-0.42674741128834448</v>
      </c>
      <c r="T23" s="125"/>
    </row>
    <row r="24" spans="2:20" x14ac:dyDescent="0.35">
      <c r="B24" s="120">
        <v>46327</v>
      </c>
      <c r="C24" s="195">
        <f>SUMIF('Booking &amp; Billing Forecast'!O:O,Summary!B:B,'Booking &amp; Billing Forecast'!G:G)</f>
        <v>0</v>
      </c>
      <c r="D24" s="195">
        <f>SUMIF('Booking &amp; Billing Forecast'!O:O,Summary!B:B,'Booking &amp; Billing Forecast'!I:I)</f>
        <v>0</v>
      </c>
      <c r="E24" s="195">
        <f>SUMIF('Booking &amp; Billing Forecast'!O:O,Summary!B:B,'Booking &amp; Billing Forecast'!M:M)</f>
        <v>0</v>
      </c>
      <c r="F24" s="120">
        <v>46327</v>
      </c>
      <c r="G24" s="196">
        <f>C5/12*11</f>
        <v>10495130.25</v>
      </c>
      <c r="H24" s="197">
        <f>SUM('Booking &amp; Billing Forecast'!AU:AU)</f>
        <v>149000</v>
      </c>
      <c r="I24" s="196">
        <f>SUM(H14:H24)-G24</f>
        <v>-1803501.5223863404</v>
      </c>
      <c r="J24" s="198">
        <f t="shared" si="0"/>
        <v>-0.17184174749868783</v>
      </c>
      <c r="K24" s="199">
        <f>E5/12*11</f>
        <v>7411878.833333333</v>
      </c>
      <c r="L24" s="200">
        <f>SUM('Booking &amp; Billing Forecast'!AV:AV)</f>
        <v>149000</v>
      </c>
      <c r="M24" s="199">
        <f>SUM(L14:L24)-K24</f>
        <v>-1922651.1031622086</v>
      </c>
      <c r="N24" s="201">
        <f t="shared" si="1"/>
        <v>-0.25940131326965277</v>
      </c>
      <c r="O24" s="201"/>
      <c r="P24" s="202">
        <f>G5/12*11</f>
        <v>1795822.4166666667</v>
      </c>
      <c r="Q24" s="203">
        <f>SUM('Booking &amp; Billing Forecast'!AW:AW)</f>
        <v>16422</v>
      </c>
      <c r="R24" s="204">
        <f>SUM(Q14:Q24)-P24</f>
        <v>-843527.82646613219</v>
      </c>
      <c r="S24" s="205">
        <f t="shared" si="2"/>
        <v>-0.46971672624059041</v>
      </c>
      <c r="T24" s="124"/>
    </row>
    <row r="25" spans="2:20" x14ac:dyDescent="0.35">
      <c r="B25" s="120">
        <v>46357</v>
      </c>
      <c r="C25" s="195">
        <f>SUMIF('Booking &amp; Billing Forecast'!O:O,Summary!B:B,'Booking &amp; Billing Forecast'!G:G)</f>
        <v>0</v>
      </c>
      <c r="D25" s="195">
        <f>SUMIF('Booking &amp; Billing Forecast'!O:O,Summary!B:B,'Booking &amp; Billing Forecast'!I:I)</f>
        <v>0</v>
      </c>
      <c r="E25" s="195">
        <f>SUMIF('Booking &amp; Billing Forecast'!O:O,Summary!B:B,'Booking &amp; Billing Forecast'!M:M)</f>
        <v>0</v>
      </c>
      <c r="F25" s="120">
        <v>46357</v>
      </c>
      <c r="G25" s="196">
        <f>C5/12*12</f>
        <v>11449233</v>
      </c>
      <c r="H25" s="197">
        <f>SUM('Booking &amp; Billing Forecast'!AX:AX)</f>
        <v>396706.85</v>
      </c>
      <c r="I25" s="196">
        <f>SUM(H14:H25)-G25</f>
        <v>-2360897.4223863408</v>
      </c>
      <c r="J25" s="198">
        <f t="shared" si="0"/>
        <v>-0.2062057277012653</v>
      </c>
      <c r="K25" s="199">
        <f>E5/12*12</f>
        <v>8085686</v>
      </c>
      <c r="L25" s="200">
        <f>SUM('Booking &amp; Billing Forecast'!AY:AY)</f>
        <v>186624.90176996382</v>
      </c>
      <c r="M25" s="199">
        <f>SUM(L14:L25)-K25</f>
        <v>-2409833.3680589115</v>
      </c>
      <c r="N25" s="201">
        <f t="shared" si="1"/>
        <v>-0.29803697151471276</v>
      </c>
      <c r="O25" s="201"/>
      <c r="P25" s="202">
        <f>G5/12*12</f>
        <v>1959079</v>
      </c>
      <c r="Q25" s="203">
        <f>SUM('Booking &amp; Billing Forecast'!AZ:AZ)</f>
        <v>35234.45088498191</v>
      </c>
      <c r="R25" s="204">
        <f>SUM(Q14:Q25)-P25</f>
        <v>-971549.95891448355</v>
      </c>
      <c r="S25" s="205">
        <f t="shared" si="2"/>
        <v>-0.49592178718391833</v>
      </c>
      <c r="T25" s="124" t="s">
        <v>32</v>
      </c>
    </row>
    <row r="26" spans="2:20" x14ac:dyDescent="0.35">
      <c r="B26" s="124"/>
      <c r="C26" s="121">
        <f>SUM(C14:C25)</f>
        <v>8669037.5476136599</v>
      </c>
      <c r="D26" s="121">
        <f>SUM(D14:D25)</f>
        <v>5651781.6198477214</v>
      </c>
      <c r="E26" s="121">
        <f>SUM(E14:E25)</f>
        <v>955697.88640386064</v>
      </c>
      <c r="F26" s="126"/>
      <c r="G26" s="127"/>
      <c r="H26" s="122">
        <f>SUM(H14:H25)</f>
        <v>9088335.5776136592</v>
      </c>
      <c r="I26" s="127"/>
      <c r="J26" s="128"/>
      <c r="K26" s="129"/>
      <c r="L26" s="129">
        <f>SUM(L14:L25)</f>
        <v>5675852.6319410885</v>
      </c>
      <c r="M26" s="129"/>
      <c r="N26" s="130"/>
      <c r="O26" s="130"/>
      <c r="P26" s="131"/>
      <c r="Q26" s="132">
        <f>SUM(Q14:Q25)</f>
        <v>987529.04108551645</v>
      </c>
      <c r="R26" s="131"/>
      <c r="S26" s="123"/>
      <c r="T26" s="124"/>
    </row>
    <row r="27" spans="2:20" x14ac:dyDescent="0.35">
      <c r="C27" s="99">
        <f>C26-C5</f>
        <v>-2780195.4523863401</v>
      </c>
      <c r="H27" s="133"/>
      <c r="Q27" s="134"/>
      <c r="R27" s="135"/>
    </row>
    <row r="28" spans="2:20" x14ac:dyDescent="0.35">
      <c r="Q28" s="67"/>
      <c r="R28" s="99"/>
    </row>
    <row r="29" spans="2:20" x14ac:dyDescent="0.35">
      <c r="B29" s="136" t="s">
        <v>33</v>
      </c>
      <c r="C29" s="156"/>
      <c r="D29" s="156"/>
      <c r="E29" s="157"/>
      <c r="F29" s="155"/>
      <c r="Q29" s="67"/>
      <c r="R29" s="67"/>
      <c r="S29" s="70"/>
    </row>
    <row r="30" spans="2:20" x14ac:dyDescent="0.35">
      <c r="B30" s="137" t="s">
        <v>34</v>
      </c>
      <c r="C30" s="138" t="s">
        <v>15</v>
      </c>
      <c r="D30" s="139" t="s">
        <v>16</v>
      </c>
      <c r="E30" s="140" t="s">
        <v>17</v>
      </c>
      <c r="F30" s="141"/>
      <c r="I30" s="66"/>
      <c r="J30" s="71"/>
      <c r="K30" s="71"/>
      <c r="L30" s="71"/>
      <c r="M30" s="71"/>
      <c r="N30" s="71"/>
      <c r="O30" s="71"/>
      <c r="P30" s="66"/>
    </row>
    <row r="31" spans="2:20" x14ac:dyDescent="0.35">
      <c r="B31" s="142">
        <v>0.8</v>
      </c>
      <c r="C31" s="75">
        <f>SUMIF('Opportunity Tracker'!L:L,Summary!B:B,'Opportunity Tracker'!H:H)</f>
        <v>386417.80727272725</v>
      </c>
      <c r="D31" s="75">
        <f>SUMIF('Opportunity Tracker'!L:L,Summary!B:B,'Opportunity Tracker'!J:J)</f>
        <v>316524.52797825378</v>
      </c>
      <c r="E31" s="75">
        <f>SUMIF('Opportunity Tracker'!L:L,Summary!B:B,'Opportunity Tracker'!K:K)</f>
        <v>114262.26398912688</v>
      </c>
      <c r="F31" s="143" t="s">
        <v>305</v>
      </c>
      <c r="I31" s="144"/>
      <c r="O31" s="71"/>
      <c r="P31" s="66"/>
    </row>
    <row r="32" spans="2:20" x14ac:dyDescent="0.35">
      <c r="B32" s="142">
        <v>0.5</v>
      </c>
      <c r="C32" s="75">
        <f>SUMIF('Opportunity Tracker'!L:L,Summary!B:B,'Opportunity Tracker'!H:H)</f>
        <v>19792061.256451614</v>
      </c>
      <c r="D32" s="75">
        <f>SUMIF('Opportunity Tracker'!L:L,Summary!B:B,'Opportunity Tracker'!J:J)</f>
        <v>5848534.4574474739</v>
      </c>
      <c r="E32" s="75">
        <f>SUMIF('Opportunity Tracker'!L:L,Summary!B:B,'Opportunity Tracker'!K:K)</f>
        <v>2924267.2287237369</v>
      </c>
      <c r="F32" s="143" t="s">
        <v>306</v>
      </c>
      <c r="I32" s="144"/>
      <c r="O32" s="71"/>
      <c r="P32" s="66"/>
    </row>
    <row r="33" spans="2:6" x14ac:dyDescent="0.35">
      <c r="B33" s="145">
        <v>0.4</v>
      </c>
      <c r="C33" s="146">
        <f>SUMIF('Opportunity Tracker'!L:L,Summary!B:B,'Opportunity Tracker'!H:H)</f>
        <v>26020.799999999999</v>
      </c>
      <c r="D33" s="146">
        <f>SUMIF('Opportunity Tracker'!L:L,Summary!B:B,'Opportunity Tracker'!J:J)</f>
        <v>5204.16</v>
      </c>
      <c r="E33" s="146">
        <f>SUMIF('Opportunity Tracker'!L:L,Summary!B:B,'Opportunity Tracker'!K:K)</f>
        <v>2602.08</v>
      </c>
    </row>
    <row r="34" spans="2:6" x14ac:dyDescent="0.35">
      <c r="B34" s="147" t="s">
        <v>35</v>
      </c>
      <c r="C34" s="146">
        <f>SUMIF('Opportunity Tracker'!L:L,Summary!B:B,'Opportunity Tracker'!H:H)</f>
        <v>434656.4598794718</v>
      </c>
      <c r="D34" s="146">
        <f>SUMIF('Opportunity Tracker'!L:L,Summary!B:B,'Opportunity Tracker'!J:J)</f>
        <v>72633.82341253302</v>
      </c>
      <c r="E34" s="146">
        <f>SUMIF('Opportunity Tracker'!L:L,Summary!B:B,'Opportunity Tracker'!K:K)</f>
        <v>36116.91170626651</v>
      </c>
    </row>
    <row r="35" spans="2:6" x14ac:dyDescent="0.35">
      <c r="B35" s="148" t="s">
        <v>36</v>
      </c>
      <c r="C35" s="75">
        <f>SUMIF('Opportunity Tracker'!L:L,Summary!B:B,'Opportunity Tracker'!H:H)</f>
        <v>0</v>
      </c>
      <c r="D35" s="75">
        <f>SUMIF('Opportunity Tracker'!L:L,Summary!B:B,'Opportunity Tracker'!J:J)</f>
        <v>0</v>
      </c>
      <c r="E35" s="75">
        <f>SUMIF('Opportunity Tracker'!L:L,Summary!B:B,'Opportunity Tracker'!K:K)</f>
        <v>0</v>
      </c>
    </row>
    <row r="36" spans="2:6" x14ac:dyDescent="0.35">
      <c r="B36" s="148" t="s">
        <v>37</v>
      </c>
      <c r="C36" s="75">
        <f>SUMIF('Opportunity Tracker'!L:L,Summary!B:B,'Opportunity Tracker'!H:H)</f>
        <v>150000</v>
      </c>
      <c r="D36" s="75">
        <f>SUMIF('Opportunity Tracker'!L:L,Summary!B:B,'Opportunity Tracker'!J:J)</f>
        <v>30000</v>
      </c>
      <c r="E36" s="75">
        <f>SUMIF('Opportunity Tracker'!L:L,Summary!B:B,'Opportunity Tracker'!K:K)</f>
        <v>15000</v>
      </c>
    </row>
    <row r="37" spans="2:6" x14ac:dyDescent="0.35">
      <c r="B37" s="1" t="s">
        <v>38</v>
      </c>
      <c r="C37" s="75">
        <f>SUMIF('Opportunity Tracker'!L:L,Summary!B:B,'Opportunity Tracker'!H:H)</f>
        <v>0</v>
      </c>
      <c r="D37" s="75">
        <f>SUMIF('Opportunity Tracker'!L:L,Summary!B:B,'Opportunity Tracker'!J:J)</f>
        <v>0</v>
      </c>
      <c r="E37" s="75">
        <f>SUMIF('Opportunity Tracker'!L:L,Summary!B:B,'Opportunity Tracker'!K:K)</f>
        <v>0</v>
      </c>
    </row>
    <row r="40" spans="2:6" x14ac:dyDescent="0.35">
      <c r="B40" s="117" t="s">
        <v>314</v>
      </c>
      <c r="C40" s="117" t="s">
        <v>15</v>
      </c>
      <c r="D40" s="117" t="s">
        <v>16</v>
      </c>
      <c r="E40" s="149" t="s">
        <v>17</v>
      </c>
    </row>
    <row r="41" spans="2:6" x14ac:dyDescent="0.35">
      <c r="B41" s="124" t="s">
        <v>317</v>
      </c>
      <c r="C41" s="75">
        <f>SUM(H14:H16)</f>
        <v>3349251.2732765959</v>
      </c>
      <c r="D41" s="75">
        <f>SUM(L14:L16)</f>
        <v>2052120.0200000003</v>
      </c>
      <c r="E41" s="75">
        <f>SUM(Q14:Q16)</f>
        <v>395614.75000000006</v>
      </c>
    </row>
    <row r="42" spans="2:6" x14ac:dyDescent="0.35">
      <c r="B42" s="150" t="s">
        <v>318</v>
      </c>
      <c r="C42" s="12">
        <v>5512521</v>
      </c>
      <c r="D42" s="12">
        <v>3654845</v>
      </c>
      <c r="E42" s="12">
        <v>607890</v>
      </c>
      <c r="F42" s="151"/>
    </row>
    <row r="43" spans="2:6" x14ac:dyDescent="0.35">
      <c r="B43" s="150" t="s">
        <v>312</v>
      </c>
      <c r="C43" s="12">
        <v>426602.76</v>
      </c>
      <c r="D43" s="12">
        <v>99988.17</v>
      </c>
      <c r="E43" s="12">
        <v>45705.18</v>
      </c>
      <c r="F43" s="152"/>
    </row>
    <row r="44" spans="2:6" x14ac:dyDescent="0.35">
      <c r="B44" s="150" t="s">
        <v>313</v>
      </c>
      <c r="C44" s="12">
        <v>676371.52</v>
      </c>
      <c r="D44" s="12">
        <v>139022.12</v>
      </c>
      <c r="E44" s="12">
        <v>69511.06</v>
      </c>
      <c r="F44" s="152"/>
    </row>
    <row r="45" spans="2:6" x14ac:dyDescent="0.35">
      <c r="B45" s="124"/>
      <c r="C45" s="75"/>
      <c r="D45" s="75"/>
      <c r="E45" s="75"/>
    </row>
    <row r="46" spans="2:6" x14ac:dyDescent="0.35">
      <c r="B46" s="124"/>
      <c r="C46" s="75">
        <f>SUM(C41:C45)</f>
        <v>9964746.5532765947</v>
      </c>
      <c r="D46" s="75">
        <f>SUM(D41:D45)</f>
        <v>5945975.3100000005</v>
      </c>
      <c r="E46" s="75">
        <f>SUM(E41:E45)</f>
        <v>1118720.99</v>
      </c>
    </row>
    <row r="47" spans="2:6" x14ac:dyDescent="0.35">
      <c r="B47" s="124" t="s">
        <v>315</v>
      </c>
      <c r="C47" s="75">
        <f>C5</f>
        <v>11449233</v>
      </c>
      <c r="D47" s="75">
        <f>E5</f>
        <v>8085686</v>
      </c>
      <c r="E47" s="75">
        <f>G5</f>
        <v>1959079</v>
      </c>
    </row>
    <row r="48" spans="2:6" x14ac:dyDescent="0.35">
      <c r="B48" s="124"/>
      <c r="C48" s="153">
        <f>C46/C47</f>
        <v>0.87034184327252273</v>
      </c>
      <c r="D48" s="153">
        <f>D46/D47</f>
        <v>0.73537054369907517</v>
      </c>
      <c r="E48" s="153">
        <f>E46/E47</f>
        <v>0.57104434787979452</v>
      </c>
    </row>
    <row r="50" spans="2:5" x14ac:dyDescent="0.35">
      <c r="B50" s="117" t="s">
        <v>316</v>
      </c>
      <c r="C50" s="117" t="s">
        <v>15</v>
      </c>
      <c r="D50" s="117" t="s">
        <v>16</v>
      </c>
      <c r="E50" s="149" t="s">
        <v>17</v>
      </c>
    </row>
    <row r="51" spans="2:5" x14ac:dyDescent="0.35">
      <c r="B51" s="124" t="s">
        <v>317</v>
      </c>
      <c r="C51" s="154"/>
      <c r="D51" s="154"/>
      <c r="E51" s="125"/>
    </row>
    <row r="52" spans="2:5" x14ac:dyDescent="0.35">
      <c r="B52" s="150" t="s">
        <v>318</v>
      </c>
      <c r="C52" s="12">
        <f>H26</f>
        <v>9088335.5776136592</v>
      </c>
      <c r="D52" s="12">
        <f>L26</f>
        <v>5675852.6319410885</v>
      </c>
      <c r="E52" s="12">
        <f>Q26</f>
        <v>987529.04108551645</v>
      </c>
    </row>
    <row r="53" spans="2:5" x14ac:dyDescent="0.35">
      <c r="B53" s="150" t="s">
        <v>312</v>
      </c>
      <c r="C53" s="12">
        <f>C31</f>
        <v>386417.80727272725</v>
      </c>
      <c r="D53" s="12">
        <f>D31</f>
        <v>316524.52797825378</v>
      </c>
      <c r="E53" s="12">
        <f>E31</f>
        <v>114262.26398912688</v>
      </c>
    </row>
    <row r="54" spans="2:5" x14ac:dyDescent="0.35">
      <c r="B54" s="150" t="s">
        <v>313</v>
      </c>
      <c r="C54" s="12"/>
      <c r="D54" s="12"/>
      <c r="E54" s="12"/>
    </row>
    <row r="55" spans="2:5" x14ac:dyDescent="0.35">
      <c r="B55" s="124"/>
      <c r="C55" s="75"/>
      <c r="D55" s="75"/>
      <c r="E55" s="75"/>
    </row>
    <row r="56" spans="2:5" x14ac:dyDescent="0.35">
      <c r="B56" s="124"/>
      <c r="C56" s="75">
        <f>SUM(C51:C55)</f>
        <v>9474753.3848863859</v>
      </c>
      <c r="D56" s="75">
        <f>SUM(D51:D55)</f>
        <v>5992377.159919342</v>
      </c>
      <c r="E56" s="75">
        <f>SUM(E51:E55)</f>
        <v>1101791.3050746433</v>
      </c>
    </row>
    <row r="57" spans="2:5" x14ac:dyDescent="0.35">
      <c r="B57" s="124" t="s">
        <v>315</v>
      </c>
      <c r="C57" s="75">
        <f>C47</f>
        <v>11449233</v>
      </c>
      <c r="D57" s="75">
        <f>D47</f>
        <v>8085686</v>
      </c>
      <c r="E57" s="75">
        <f>E47</f>
        <v>1959079</v>
      </c>
    </row>
    <row r="58" spans="2:5" x14ac:dyDescent="0.35">
      <c r="B58" s="124"/>
      <c r="C58" s="153">
        <f>C56/C57</f>
        <v>0.8275448132539871</v>
      </c>
      <c r="D58" s="153">
        <f>D56/D57</f>
        <v>0.74110930846428391</v>
      </c>
      <c r="E58" s="153">
        <f>E56/E57</f>
        <v>0.56240269283405286</v>
      </c>
    </row>
  </sheetData>
  <conditionalFormatting sqref="A29:B29 I1:K2 B2:D2 G2:XFD2 K3:XFD3 A3:I4 O4:XFD5 B5:C10 F5:G10 J6:XFD8 J9:P10 R9:XFD10 A11:XFD28 G29:XFD29">
    <cfRule type="cellIs" dxfId="50" priority="13" operator="lessThan">
      <formula>0</formula>
    </cfRule>
  </conditionalFormatting>
  <conditionalFormatting sqref="B10:B12">
    <cfRule type="cellIs" dxfId="49" priority="29" operator="lessThan">
      <formula>-0.07</formula>
    </cfRule>
    <cfRule type="cellIs" dxfId="48" priority="31" operator="lessThan">
      <formula>0</formula>
    </cfRule>
  </conditionalFormatting>
  <conditionalFormatting sqref="B29">
    <cfRule type="cellIs" dxfId="47" priority="4" operator="lessThan">
      <formula>-0.07</formula>
    </cfRule>
    <cfRule type="cellIs" dxfId="46" priority="5" operator="lessThan">
      <formula>0</formula>
    </cfRule>
  </conditionalFormatting>
  <conditionalFormatting sqref="B6:C6 B8:C9">
    <cfRule type="cellIs" dxfId="45" priority="15" operator="equal">
      <formula>80</formula>
    </cfRule>
  </conditionalFormatting>
  <conditionalFormatting sqref="B30:C30 E30:G30 B31 B33">
    <cfRule type="cellIs" dxfId="44" priority="7" operator="equal">
      <formula>80</formula>
    </cfRule>
  </conditionalFormatting>
  <conditionalFormatting sqref="B5:G5 B7">
    <cfRule type="cellIs" dxfId="43" priority="32" operator="equal">
      <formula>80</formula>
    </cfRule>
  </conditionalFormatting>
  <conditionalFormatting sqref="C13:D13">
    <cfRule type="cellIs" dxfId="42" priority="19" operator="equal">
      <formula>80</formula>
    </cfRule>
  </conditionalFormatting>
  <conditionalFormatting sqref="D6:D10">
    <cfRule type="cellIs" dxfId="41" priority="1" operator="lessThan">
      <formula>0</formula>
    </cfRule>
  </conditionalFormatting>
  <conditionalFormatting sqref="D5:E5 A30:XFD30 A31:I33 O31:XFD33 A34:XFD36 A37 C37:XFD37 A38:XFD1048576">
    <cfRule type="cellIs" dxfId="40" priority="6" operator="lessThan">
      <formula>0</formula>
    </cfRule>
  </conditionalFormatting>
  <conditionalFormatting sqref="E6">
    <cfRule type="cellIs" dxfId="39" priority="3" operator="lessThan">
      <formula>0</formula>
    </cfRule>
  </conditionalFormatting>
  <conditionalFormatting sqref="E9:E10">
    <cfRule type="cellIs" dxfId="38" priority="2" operator="lessThan">
      <formula>0</formula>
    </cfRule>
  </conditionalFormatting>
  <conditionalFormatting sqref="R14:S25">
    <cfRule type="cellIs" dxfId="37" priority="14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9C9F-D174-41B4-A074-1A99AC213FF3}">
  <sheetPr filterMode="1"/>
  <dimension ref="A1:AZ53"/>
  <sheetViews>
    <sheetView tabSelected="1" topLeftCell="Q1" zoomScaleNormal="100" workbookViewId="0">
      <pane ySplit="2" topLeftCell="A6" activePane="bottomLeft" state="frozen"/>
      <selection pane="bottomLeft" activeCell="AA8" sqref="AA8"/>
    </sheetView>
  </sheetViews>
  <sheetFormatPr defaultColWidth="9.54296875" defaultRowHeight="14.5" outlineLevelCol="1" x14ac:dyDescent="0.35"/>
  <cols>
    <col min="1" max="1" width="9.7265625" style="57" bestFit="1" customWidth="1"/>
    <col min="2" max="2" width="20.1796875" style="58" customWidth="1"/>
    <col min="3" max="3" width="19.1796875" style="58" customWidth="1"/>
    <col min="4" max="4" width="39.81640625" style="45" bestFit="1" customWidth="1"/>
    <col min="5" max="5" width="71.6328125" style="59" bestFit="1" customWidth="1"/>
    <col min="6" max="6" width="17.26953125" style="58" bestFit="1" customWidth="1"/>
    <col min="7" max="7" width="16.36328125" style="60" customWidth="1"/>
    <col min="8" max="8" width="9.36328125" style="61" bestFit="1" customWidth="1"/>
    <col min="9" max="9" width="14.08984375" style="60" customWidth="1"/>
    <col min="10" max="10" width="24.81640625" style="62" customWidth="1"/>
    <col min="11" max="11" width="14.36328125" style="62" bestFit="1" customWidth="1"/>
    <col min="12" max="12" width="16.54296875" style="60" customWidth="1"/>
    <col min="13" max="13" width="14.08984375" style="60" customWidth="1"/>
    <col min="14" max="14" width="15.26953125" style="63" bestFit="1" customWidth="1" outlineLevel="1"/>
    <col min="15" max="15" width="17.81640625" style="64" bestFit="1" customWidth="1" outlineLevel="1"/>
    <col min="16" max="16" width="17.7265625" style="62" bestFit="1" customWidth="1"/>
    <col min="17" max="17" width="13.36328125" style="65" customWidth="1"/>
    <col min="18" max="18" width="11.1796875" style="65" customWidth="1"/>
    <col min="19" max="19" width="10.1796875" style="65" customWidth="1"/>
    <col min="20" max="20" width="13.36328125" style="65" customWidth="1"/>
    <col min="21" max="21" width="11.1796875" style="65" customWidth="1"/>
    <col min="22" max="22" width="10.1796875" style="65" customWidth="1"/>
    <col min="23" max="23" width="13.453125" style="65" bestFit="1" customWidth="1"/>
    <col min="24" max="24" width="11.26953125" style="65" bestFit="1" customWidth="1"/>
    <col min="25" max="25" width="10.26953125" style="65" bestFit="1" customWidth="1"/>
    <col min="26" max="26" width="13.453125" style="62" bestFit="1" customWidth="1"/>
    <col min="27" max="27" width="11.26953125" style="62" bestFit="1" customWidth="1"/>
    <col min="28" max="28" width="10.26953125" style="62" bestFit="1" customWidth="1"/>
    <col min="29" max="29" width="13.453125" style="45" bestFit="1" customWidth="1"/>
    <col min="30" max="30" width="11.26953125" style="45" bestFit="1" customWidth="1"/>
    <col min="31" max="31" width="10.26953125" style="45" bestFit="1" customWidth="1"/>
    <col min="32" max="32" width="13.453125" style="45" bestFit="1" customWidth="1"/>
    <col min="33" max="33" width="11.26953125" style="45" bestFit="1" customWidth="1"/>
    <col min="34" max="34" width="10.26953125" style="45" bestFit="1" customWidth="1"/>
    <col min="35" max="35" width="13.453125" style="45" bestFit="1" customWidth="1"/>
    <col min="36" max="36" width="11.26953125" style="45" bestFit="1" customWidth="1"/>
    <col min="37" max="37" width="10.26953125" style="45" bestFit="1" customWidth="1"/>
    <col min="38" max="38" width="13.453125" style="45" bestFit="1" customWidth="1"/>
    <col min="39" max="39" width="11.26953125" style="45" bestFit="1" customWidth="1"/>
    <col min="40" max="40" width="10.26953125" style="45" bestFit="1" customWidth="1"/>
    <col min="41" max="41" width="13.453125" style="45" bestFit="1" customWidth="1"/>
    <col min="42" max="42" width="11.26953125" style="45" bestFit="1" customWidth="1"/>
    <col min="43" max="43" width="10.26953125" style="45" bestFit="1" customWidth="1"/>
    <col min="44" max="44" width="13.453125" style="45" bestFit="1" customWidth="1"/>
    <col min="45" max="45" width="11.26953125" style="45" bestFit="1" customWidth="1"/>
    <col min="46" max="46" width="10.26953125" style="45" bestFit="1" customWidth="1"/>
    <col min="47" max="47" width="13.453125" style="45" bestFit="1" customWidth="1"/>
    <col min="48" max="48" width="11.26953125" style="45" bestFit="1" customWidth="1"/>
    <col min="49" max="49" width="10.26953125" style="45" bestFit="1" customWidth="1"/>
    <col min="50" max="50" width="13.453125" style="45" bestFit="1" customWidth="1"/>
    <col min="51" max="51" width="11.26953125" style="45" bestFit="1" customWidth="1"/>
    <col min="52" max="52" width="10.26953125" style="45" bestFit="1" customWidth="1"/>
    <col min="53" max="16384" width="9.54296875" style="45"/>
  </cols>
  <sheetData>
    <row r="1" spans="1:52" s="29" customFormat="1" ht="15" thickBot="1" x14ac:dyDescent="0.4">
      <c r="A1" s="304" t="s">
        <v>39</v>
      </c>
      <c r="B1" s="306" t="s">
        <v>40</v>
      </c>
      <c r="C1" s="308" t="s">
        <v>41</v>
      </c>
      <c r="D1" s="308" t="s">
        <v>42</v>
      </c>
      <c r="E1" s="308" t="s">
        <v>43</v>
      </c>
      <c r="F1" s="308" t="s">
        <v>44</v>
      </c>
      <c r="G1" s="308" t="s">
        <v>45</v>
      </c>
      <c r="H1" s="312" t="s">
        <v>46</v>
      </c>
      <c r="I1" s="308" t="s">
        <v>16</v>
      </c>
      <c r="J1" s="306" t="s">
        <v>47</v>
      </c>
      <c r="K1" s="308" t="s">
        <v>48</v>
      </c>
      <c r="L1" s="308" t="s">
        <v>49</v>
      </c>
      <c r="M1" s="308" t="s">
        <v>17</v>
      </c>
      <c r="N1" s="308" t="s">
        <v>50</v>
      </c>
      <c r="O1" s="297" t="s">
        <v>51</v>
      </c>
      <c r="P1" s="311" t="s">
        <v>52</v>
      </c>
      <c r="Q1" s="310" t="s">
        <v>53</v>
      </c>
      <c r="R1" s="300"/>
      <c r="S1" s="300"/>
      <c r="T1" s="300" t="s">
        <v>54</v>
      </c>
      <c r="U1" s="300"/>
      <c r="V1" s="300"/>
      <c r="W1" s="300" t="s">
        <v>55</v>
      </c>
      <c r="X1" s="300"/>
      <c r="Y1" s="300"/>
      <c r="Z1" s="299" t="s">
        <v>56</v>
      </c>
      <c r="AA1" s="299"/>
      <c r="AB1" s="299"/>
      <c r="AC1" s="299" t="s">
        <v>57</v>
      </c>
      <c r="AD1" s="299"/>
      <c r="AE1" s="299"/>
      <c r="AF1" s="299" t="s">
        <v>58</v>
      </c>
      <c r="AG1" s="299"/>
      <c r="AH1" s="299"/>
      <c r="AI1" s="303" t="s">
        <v>59</v>
      </c>
      <c r="AJ1" s="303"/>
      <c r="AK1" s="303"/>
      <c r="AL1" s="303" t="s">
        <v>60</v>
      </c>
      <c r="AM1" s="303"/>
      <c r="AN1" s="303"/>
      <c r="AO1" s="303" t="s">
        <v>61</v>
      </c>
      <c r="AP1" s="303"/>
      <c r="AQ1" s="303"/>
      <c r="AR1" s="301" t="s">
        <v>62</v>
      </c>
      <c r="AS1" s="301"/>
      <c r="AT1" s="301"/>
      <c r="AU1" s="301" t="s">
        <v>63</v>
      </c>
      <c r="AV1" s="301"/>
      <c r="AW1" s="301"/>
      <c r="AX1" s="301" t="s">
        <v>64</v>
      </c>
      <c r="AY1" s="301"/>
      <c r="AZ1" s="302"/>
    </row>
    <row r="2" spans="1:52" s="29" customFormat="1" ht="15" thickBot="1" x14ac:dyDescent="0.4">
      <c r="A2" s="305"/>
      <c r="B2" s="307"/>
      <c r="C2" s="309"/>
      <c r="D2" s="309"/>
      <c r="E2" s="309"/>
      <c r="F2" s="309"/>
      <c r="G2" s="309"/>
      <c r="H2" s="313"/>
      <c r="I2" s="309"/>
      <c r="J2" s="307"/>
      <c r="K2" s="309"/>
      <c r="L2" s="309"/>
      <c r="M2" s="309"/>
      <c r="N2" s="309"/>
      <c r="O2" s="298"/>
      <c r="P2" s="309"/>
      <c r="Q2" s="30" t="s">
        <v>65</v>
      </c>
      <c r="R2" s="30" t="s">
        <v>66</v>
      </c>
      <c r="S2" s="30" t="s">
        <v>17</v>
      </c>
      <c r="T2" s="30" t="s">
        <v>65</v>
      </c>
      <c r="U2" s="30" t="s">
        <v>66</v>
      </c>
      <c r="V2" s="30" t="s">
        <v>17</v>
      </c>
      <c r="W2" s="30" t="s">
        <v>65</v>
      </c>
      <c r="X2" s="30" t="s">
        <v>66</v>
      </c>
      <c r="Y2" s="30" t="s">
        <v>17</v>
      </c>
      <c r="Z2" s="31" t="s">
        <v>65</v>
      </c>
      <c r="AA2" s="31" t="s">
        <v>66</v>
      </c>
      <c r="AB2" s="31" t="s">
        <v>17</v>
      </c>
      <c r="AC2" s="31" t="s">
        <v>65</v>
      </c>
      <c r="AD2" s="31" t="s">
        <v>66</v>
      </c>
      <c r="AE2" s="31" t="s">
        <v>17</v>
      </c>
      <c r="AF2" s="31" t="s">
        <v>65</v>
      </c>
      <c r="AG2" s="31" t="s">
        <v>66</v>
      </c>
      <c r="AH2" s="31" t="s">
        <v>17</v>
      </c>
      <c r="AI2" s="32" t="s">
        <v>65</v>
      </c>
      <c r="AJ2" s="32" t="s">
        <v>66</v>
      </c>
      <c r="AK2" s="32" t="s">
        <v>17</v>
      </c>
      <c r="AL2" s="32" t="s">
        <v>65</v>
      </c>
      <c r="AM2" s="32" t="s">
        <v>66</v>
      </c>
      <c r="AN2" s="32" t="s">
        <v>17</v>
      </c>
      <c r="AO2" s="32" t="s">
        <v>65</v>
      </c>
      <c r="AP2" s="32" t="s">
        <v>66</v>
      </c>
      <c r="AQ2" s="32" t="s">
        <v>17</v>
      </c>
      <c r="AR2" s="33" t="s">
        <v>65</v>
      </c>
      <c r="AS2" s="33" t="s">
        <v>66</v>
      </c>
      <c r="AT2" s="33" t="s">
        <v>17</v>
      </c>
      <c r="AU2" s="33" t="s">
        <v>65</v>
      </c>
      <c r="AV2" s="33" t="s">
        <v>66</v>
      </c>
      <c r="AW2" s="33" t="s">
        <v>17</v>
      </c>
      <c r="AX2" s="33" t="s">
        <v>65</v>
      </c>
      <c r="AY2" s="33" t="s">
        <v>66</v>
      </c>
      <c r="AZ2" s="34" t="s">
        <v>17</v>
      </c>
    </row>
    <row r="3" spans="1:52" hidden="1" x14ac:dyDescent="0.35">
      <c r="A3" s="35"/>
      <c r="B3" s="36"/>
      <c r="C3" s="36"/>
      <c r="D3" s="37" t="s">
        <v>67</v>
      </c>
      <c r="E3" s="38"/>
      <c r="F3" s="36"/>
      <c r="G3" s="39"/>
      <c r="H3" s="40"/>
      <c r="I3" s="39"/>
      <c r="J3" s="41"/>
      <c r="K3" s="42"/>
      <c r="L3" s="39"/>
      <c r="M3" s="39"/>
      <c r="N3" s="43"/>
      <c r="O3" s="44"/>
      <c r="P3" s="41"/>
      <c r="Q3" s="41"/>
      <c r="R3" s="41"/>
      <c r="S3" s="41">
        <f>-524.58+5477.11-41.13</f>
        <v>4911.3999999999996</v>
      </c>
      <c r="T3" s="41"/>
      <c r="U3" s="41"/>
      <c r="V3" s="41">
        <f>-227.02-15.01</f>
        <v>-242.03</v>
      </c>
      <c r="W3" s="41"/>
      <c r="X3" s="41"/>
      <c r="Y3" s="41">
        <f>-2622.44+0.8</f>
        <v>-2621.64</v>
      </c>
      <c r="Z3" s="41"/>
      <c r="AA3" s="41"/>
      <c r="AB3" s="41">
        <v>599.52</v>
      </c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</row>
    <row r="4" spans="1:52" s="227" customFormat="1" x14ac:dyDescent="0.35">
      <c r="A4" s="217"/>
      <c r="B4" s="218" t="s">
        <v>1</v>
      </c>
      <c r="C4" s="241" t="s">
        <v>68</v>
      </c>
      <c r="D4" s="219" t="s">
        <v>69</v>
      </c>
      <c r="E4" s="220" t="s">
        <v>70</v>
      </c>
      <c r="F4" s="242" t="s">
        <v>71</v>
      </c>
      <c r="G4" s="221">
        <v>56904.6</v>
      </c>
      <c r="H4" s="222">
        <v>0.15122128701650936</v>
      </c>
      <c r="I4" s="221">
        <f>H4*G4</f>
        <v>8605.1868491596579</v>
      </c>
      <c r="J4" s="223" t="s">
        <v>72</v>
      </c>
      <c r="K4" s="224">
        <v>0.5</v>
      </c>
      <c r="L4" s="221">
        <f>I4*K4</f>
        <v>4302.5934245798289</v>
      </c>
      <c r="M4" s="221">
        <f>I4-L4</f>
        <v>4302.5934245798289</v>
      </c>
      <c r="N4" s="225" t="s">
        <v>73</v>
      </c>
      <c r="O4" s="242">
        <v>2024</v>
      </c>
      <c r="P4" s="223" t="s">
        <v>74</v>
      </c>
      <c r="Q4" s="223">
        <v>196.32</v>
      </c>
      <c r="R4" s="223">
        <f>S4+8</f>
        <v>22.740000000000002</v>
      </c>
      <c r="S4" s="223">
        <v>14.74</v>
      </c>
      <c r="T4" s="223"/>
      <c r="U4" s="223"/>
      <c r="V4" s="223"/>
      <c r="W4" s="223">
        <v>110.55</v>
      </c>
      <c r="X4" s="223">
        <f>Y4+8</f>
        <v>24.72</v>
      </c>
      <c r="Y4" s="223">
        <v>16.72</v>
      </c>
      <c r="Z4" s="223">
        <v>117.03</v>
      </c>
      <c r="AA4" s="223">
        <f>AB4+9</f>
        <v>17.73</v>
      </c>
      <c r="AB4" s="223">
        <v>8.73</v>
      </c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  <c r="AZ4" s="219"/>
    </row>
    <row r="5" spans="1:52" s="216" customFormat="1" x14ac:dyDescent="0.35">
      <c r="A5" s="207"/>
      <c r="B5" s="208" t="s">
        <v>1</v>
      </c>
      <c r="C5" s="238" t="s">
        <v>68</v>
      </c>
      <c r="D5" s="209" t="s">
        <v>75</v>
      </c>
      <c r="E5" s="210" t="s">
        <v>76</v>
      </c>
      <c r="F5" s="9" t="s">
        <v>71</v>
      </c>
      <c r="G5" s="211">
        <v>49963</v>
      </c>
      <c r="H5" s="212">
        <v>0.08</v>
      </c>
      <c r="I5" s="211">
        <f>H5*G5</f>
        <v>3997.04</v>
      </c>
      <c r="J5" s="56" t="s">
        <v>72</v>
      </c>
      <c r="K5" s="213">
        <v>0.5</v>
      </c>
      <c r="L5" s="211">
        <f>I5*K5</f>
        <v>1998.52</v>
      </c>
      <c r="M5" s="211">
        <f>I5-L5</f>
        <v>1998.52</v>
      </c>
      <c r="N5" s="214" t="s">
        <v>73</v>
      </c>
      <c r="O5" s="9">
        <v>2025</v>
      </c>
      <c r="P5" s="243" t="s">
        <v>77</v>
      </c>
      <c r="Q5" s="56">
        <v>12155.26</v>
      </c>
      <c r="R5" s="56">
        <f>S5+571</f>
        <v>1147.26</v>
      </c>
      <c r="S5" s="56">
        <v>576.26</v>
      </c>
      <c r="T5" s="56">
        <v>5022.84</v>
      </c>
      <c r="U5" s="56">
        <f>V5+182+15</f>
        <v>392.84000000000003</v>
      </c>
      <c r="V5" s="56">
        <v>195.84</v>
      </c>
      <c r="W5" s="56"/>
      <c r="X5" s="56"/>
      <c r="Y5" s="56"/>
      <c r="Z5" s="56">
        <v>5015.45</v>
      </c>
      <c r="AA5" s="56">
        <f>AB5+195</f>
        <v>391.45</v>
      </c>
      <c r="AB5" s="56">
        <v>196.45</v>
      </c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</row>
    <row r="6" spans="1:52" s="216" customFormat="1" hidden="1" x14ac:dyDescent="0.35">
      <c r="A6" s="207">
        <v>45463</v>
      </c>
      <c r="B6" s="208" t="s">
        <v>1</v>
      </c>
      <c r="C6" s="208" t="s">
        <v>68</v>
      </c>
      <c r="D6" s="209" t="s">
        <v>78</v>
      </c>
      <c r="E6" s="210" t="s">
        <v>79</v>
      </c>
      <c r="F6" s="208" t="s">
        <v>80</v>
      </c>
      <c r="G6" s="211">
        <v>420120.54</v>
      </c>
      <c r="H6" s="212">
        <v>0.15340487252423354</v>
      </c>
      <c r="I6" s="211">
        <f>G6*H6</f>
        <v>64448.537883512159</v>
      </c>
      <c r="J6" s="56" t="s">
        <v>81</v>
      </c>
      <c r="K6" s="213"/>
      <c r="L6" s="211">
        <f>I6*K6</f>
        <v>0</v>
      </c>
      <c r="M6" s="211">
        <f>I6-L6</f>
        <v>64448.537883512159</v>
      </c>
      <c r="N6" s="214" t="s">
        <v>73</v>
      </c>
      <c r="O6" s="9">
        <v>2024</v>
      </c>
      <c r="P6" s="243" t="s">
        <v>82</v>
      </c>
      <c r="Q6" s="56"/>
      <c r="R6" s="56"/>
      <c r="S6" s="56"/>
      <c r="T6" s="56">
        <v>137706.85</v>
      </c>
      <c r="U6" s="56">
        <f>V6+10587</f>
        <v>21173.599999999999</v>
      </c>
      <c r="V6" s="56">
        <v>10586.6</v>
      </c>
      <c r="W6" s="56"/>
      <c r="X6" s="56"/>
      <c r="Y6" s="56"/>
      <c r="Z6" s="56"/>
      <c r="AA6" s="56"/>
      <c r="AB6" s="56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>
        <v>137706.85</v>
      </c>
      <c r="AY6" s="209">
        <f>AX6*0.153404872524234</f>
        <v>21124.901769963813</v>
      </c>
      <c r="AZ6" s="209">
        <f>AY6*50%</f>
        <v>10562.450884981907</v>
      </c>
    </row>
    <row r="7" spans="1:52" s="227" customFormat="1" hidden="1" x14ac:dyDescent="0.35">
      <c r="A7" s="217"/>
      <c r="B7" s="218" t="s">
        <v>1</v>
      </c>
      <c r="C7" s="241" t="s">
        <v>68</v>
      </c>
      <c r="D7" s="219" t="s">
        <v>101</v>
      </c>
      <c r="E7" s="220" t="s">
        <v>200</v>
      </c>
      <c r="F7" s="242" t="s">
        <v>71</v>
      </c>
      <c r="G7" s="245">
        <v>2504127.4700000002</v>
      </c>
      <c r="H7" s="246">
        <v>0.11258212984973107</v>
      </c>
      <c r="I7" s="221">
        <f t="shared" ref="I7" si="0">H7*G7</f>
        <v>281920.00398781855</v>
      </c>
      <c r="J7" s="223" t="s">
        <v>72</v>
      </c>
      <c r="K7" s="224">
        <v>0.5</v>
      </c>
      <c r="L7" s="221">
        <f>I7*K7</f>
        <v>140960.00199390927</v>
      </c>
      <c r="M7" s="221">
        <f t="shared" ref="M7" si="1">I7-L7</f>
        <v>140960.00199390927</v>
      </c>
      <c r="N7" s="225" t="s">
        <v>73</v>
      </c>
      <c r="O7" s="242">
        <v>2025</v>
      </c>
      <c r="P7" s="247" t="s">
        <v>201</v>
      </c>
      <c r="Q7" s="223"/>
      <c r="R7" s="223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19"/>
      <c r="AD7" s="219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19"/>
      <c r="AU7" s="219"/>
      <c r="AV7" s="219"/>
      <c r="AW7" s="219"/>
      <c r="AX7" s="219"/>
      <c r="AY7" s="219"/>
      <c r="AZ7" s="219"/>
    </row>
    <row r="8" spans="1:52" x14ac:dyDescent="0.35">
      <c r="A8" s="46">
        <v>45689</v>
      </c>
      <c r="B8" s="19" t="s">
        <v>1</v>
      </c>
      <c r="C8" s="19" t="s">
        <v>68</v>
      </c>
      <c r="D8" s="21" t="s">
        <v>83</v>
      </c>
      <c r="E8" s="22" t="s">
        <v>84</v>
      </c>
      <c r="F8" s="19" t="s">
        <v>85</v>
      </c>
      <c r="G8" s="27">
        <v>162000</v>
      </c>
      <c r="H8" s="47">
        <v>1</v>
      </c>
      <c r="I8" s="27">
        <f t="shared" ref="I8:I18" si="2">G8*H8</f>
        <v>162000</v>
      </c>
      <c r="J8" s="48" t="s">
        <v>72</v>
      </c>
      <c r="K8" s="49"/>
      <c r="L8" s="27">
        <v>100801.26756244108</v>
      </c>
      <c r="M8" s="27">
        <f t="shared" ref="M8:M20" si="3">I8-L8</f>
        <v>61198.732437558923</v>
      </c>
      <c r="N8" s="50" t="s">
        <v>73</v>
      </c>
      <c r="O8" s="24">
        <v>2025</v>
      </c>
      <c r="P8" s="48" t="s">
        <v>86</v>
      </c>
      <c r="Q8" s="48">
        <v>14169</v>
      </c>
      <c r="R8" s="48">
        <f>Q8</f>
        <v>14169</v>
      </c>
      <c r="S8" s="48">
        <v>10060</v>
      </c>
      <c r="T8" s="48">
        <v>12462</v>
      </c>
      <c r="U8" s="48">
        <f>V8+9535</f>
        <v>12462</v>
      </c>
      <c r="V8" s="48">
        <v>2927</v>
      </c>
      <c r="W8" s="48">
        <v>13797</v>
      </c>
      <c r="X8" s="48">
        <f>Y8+10557</f>
        <v>13797</v>
      </c>
      <c r="Y8" s="48">
        <v>3240</v>
      </c>
      <c r="Z8" s="48">
        <v>6676</v>
      </c>
      <c r="AA8" s="48">
        <f>Z8</f>
        <v>6676</v>
      </c>
      <c r="AB8" s="48">
        <v>1567</v>
      </c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</row>
    <row r="9" spans="1:52" s="216" customFormat="1" hidden="1" x14ac:dyDescent="0.35">
      <c r="A9" s="207">
        <v>45694</v>
      </c>
      <c r="B9" s="208" t="s">
        <v>1</v>
      </c>
      <c r="C9" s="208" t="s">
        <v>68</v>
      </c>
      <c r="D9" s="209" t="s">
        <v>78</v>
      </c>
      <c r="E9" s="210" t="s">
        <v>87</v>
      </c>
      <c r="F9" s="208" t="s">
        <v>85</v>
      </c>
      <c r="G9" s="211">
        <f>149000*3</f>
        <v>447000</v>
      </c>
      <c r="H9" s="212">
        <v>1</v>
      </c>
      <c r="I9" s="211">
        <f>G9*H9</f>
        <v>447000</v>
      </c>
      <c r="J9" s="56" t="s">
        <v>81</v>
      </c>
      <c r="K9" s="213"/>
      <c r="L9" s="211">
        <f>G9*0.88</f>
        <v>393360</v>
      </c>
      <c r="M9" s="211">
        <f>I9-L9</f>
        <v>53640</v>
      </c>
      <c r="N9" s="214" t="s">
        <v>73</v>
      </c>
      <c r="O9" s="215">
        <v>46054</v>
      </c>
      <c r="P9" s="56" t="s">
        <v>88</v>
      </c>
      <c r="Q9" s="56">
        <v>149000</v>
      </c>
      <c r="R9" s="56">
        <f>S9+132578</f>
        <v>149000</v>
      </c>
      <c r="S9" s="56">
        <f>Q9-132578</f>
        <v>16422</v>
      </c>
      <c r="T9" s="56">
        <v>149000</v>
      </c>
      <c r="U9" s="56">
        <f>V9+132201</f>
        <v>149000</v>
      </c>
      <c r="V9" s="56">
        <v>16799</v>
      </c>
      <c r="W9" s="56">
        <v>149000</v>
      </c>
      <c r="X9" s="56">
        <f>Y9+133615</f>
        <v>149000</v>
      </c>
      <c r="Y9" s="56">
        <f>W9-133615</f>
        <v>15385</v>
      </c>
      <c r="Z9" s="56"/>
      <c r="AA9" s="56"/>
      <c r="AB9" s="56"/>
      <c r="AC9" s="209"/>
      <c r="AD9" s="209"/>
      <c r="AE9" s="209"/>
      <c r="AF9" s="209"/>
      <c r="AG9" s="209"/>
      <c r="AH9" s="209"/>
      <c r="AI9" s="209"/>
      <c r="AJ9" s="209"/>
      <c r="AK9" s="209"/>
      <c r="AL9" s="209"/>
      <c r="AM9" s="209"/>
      <c r="AN9" s="209"/>
      <c r="AO9" s="209"/>
      <c r="AP9" s="209"/>
      <c r="AQ9" s="209"/>
      <c r="AR9" s="209"/>
      <c r="AS9" s="209"/>
      <c r="AT9" s="209"/>
      <c r="AU9" s="209"/>
      <c r="AV9" s="209"/>
      <c r="AW9" s="209"/>
      <c r="AX9" s="209"/>
      <c r="AY9" s="209"/>
      <c r="AZ9" s="209"/>
    </row>
    <row r="10" spans="1:52" s="216" customFormat="1" x14ac:dyDescent="0.35">
      <c r="A10" s="207">
        <v>45694</v>
      </c>
      <c r="B10" s="208" t="s">
        <v>1</v>
      </c>
      <c r="C10" s="208" t="s">
        <v>68</v>
      </c>
      <c r="D10" s="209" t="s">
        <v>78</v>
      </c>
      <c r="E10" s="210" t="s">
        <v>87</v>
      </c>
      <c r="F10" s="208" t="s">
        <v>85</v>
      </c>
      <c r="G10" s="211">
        <f>149000*9</f>
        <v>1341000</v>
      </c>
      <c r="H10" s="212">
        <v>1</v>
      </c>
      <c r="I10" s="211">
        <f>G10*H10</f>
        <v>1341000</v>
      </c>
      <c r="J10" s="56" t="s">
        <v>81</v>
      </c>
      <c r="K10" s="213"/>
      <c r="L10" s="211">
        <f>G10*0.88</f>
        <v>1180080</v>
      </c>
      <c r="M10" s="211">
        <f>I10-L10</f>
        <v>160920</v>
      </c>
      <c r="N10" s="214" t="s">
        <v>73</v>
      </c>
      <c r="O10" s="215">
        <v>46143</v>
      </c>
      <c r="P10" s="56" t="s">
        <v>88</v>
      </c>
      <c r="Q10" s="56"/>
      <c r="R10" s="56"/>
      <c r="S10" s="56"/>
      <c r="T10" s="56"/>
      <c r="U10" s="56"/>
      <c r="V10" s="56"/>
      <c r="W10" s="56"/>
      <c r="X10" s="56"/>
      <c r="Y10" s="56"/>
      <c r="Z10" s="56">
        <v>149000</v>
      </c>
      <c r="AA10" s="56">
        <f>Z10</f>
        <v>149000</v>
      </c>
      <c r="AB10" s="56">
        <f>AA10-132578</f>
        <v>16422</v>
      </c>
      <c r="AC10" s="209">
        <v>149000</v>
      </c>
      <c r="AD10" s="209">
        <f>AC10</f>
        <v>149000</v>
      </c>
      <c r="AE10" s="209">
        <f>AD10-132578</f>
        <v>16422</v>
      </c>
      <c r="AF10" s="209">
        <v>149000</v>
      </c>
      <c r="AG10" s="209">
        <f>AF10</f>
        <v>149000</v>
      </c>
      <c r="AH10" s="209">
        <f>AG10-132578</f>
        <v>16422</v>
      </c>
      <c r="AI10" s="209">
        <v>149000</v>
      </c>
      <c r="AJ10" s="209">
        <f>AI10</f>
        <v>149000</v>
      </c>
      <c r="AK10" s="209">
        <f>AJ10-132578</f>
        <v>16422</v>
      </c>
      <c r="AL10" s="209">
        <v>149000</v>
      </c>
      <c r="AM10" s="209">
        <f>AL10</f>
        <v>149000</v>
      </c>
      <c r="AN10" s="209">
        <f>AM10-132578</f>
        <v>16422</v>
      </c>
      <c r="AO10" s="209">
        <v>149000</v>
      </c>
      <c r="AP10" s="209">
        <f>AO10</f>
        <v>149000</v>
      </c>
      <c r="AQ10" s="209">
        <f>AP10-132578</f>
        <v>16422</v>
      </c>
      <c r="AR10" s="209">
        <v>149000</v>
      </c>
      <c r="AS10" s="209">
        <f>AR10</f>
        <v>149000</v>
      </c>
      <c r="AT10" s="209">
        <f>AS10-132578</f>
        <v>16422</v>
      </c>
      <c r="AU10" s="209">
        <v>149000</v>
      </c>
      <c r="AV10" s="209">
        <f>AU10</f>
        <v>149000</v>
      </c>
      <c r="AW10" s="209">
        <f>AV10-132578</f>
        <v>16422</v>
      </c>
      <c r="AX10" s="209">
        <v>149000</v>
      </c>
      <c r="AY10" s="209">
        <f>AX10</f>
        <v>149000</v>
      </c>
      <c r="AZ10" s="209">
        <f>AY10-132578</f>
        <v>16422</v>
      </c>
    </row>
    <row r="11" spans="1:52" s="227" customFormat="1" x14ac:dyDescent="0.35">
      <c r="A11" s="217">
        <v>45839</v>
      </c>
      <c r="B11" s="218" t="s">
        <v>1</v>
      </c>
      <c r="C11" s="218" t="s">
        <v>89</v>
      </c>
      <c r="D11" s="219" t="s">
        <v>90</v>
      </c>
      <c r="E11" s="220" t="s">
        <v>91</v>
      </c>
      <c r="F11" s="218" t="s">
        <v>92</v>
      </c>
      <c r="G11" s="221">
        <v>7000</v>
      </c>
      <c r="H11" s="222">
        <v>1</v>
      </c>
      <c r="I11" s="221">
        <f t="shared" si="2"/>
        <v>7000</v>
      </c>
      <c r="J11" s="223" t="s">
        <v>81</v>
      </c>
      <c r="K11" s="224">
        <v>0.5</v>
      </c>
      <c r="L11" s="221">
        <v>3290</v>
      </c>
      <c r="M11" s="221">
        <f t="shared" si="3"/>
        <v>3710</v>
      </c>
      <c r="N11" s="225" t="s">
        <v>73</v>
      </c>
      <c r="O11" s="226">
        <v>2025</v>
      </c>
      <c r="P11" s="223" t="s">
        <v>93</v>
      </c>
      <c r="Q11" s="223">
        <v>595</v>
      </c>
      <c r="R11" s="223">
        <f>S11+170</f>
        <v>-138</v>
      </c>
      <c r="S11" s="223">
        <v>-308</v>
      </c>
      <c r="T11" s="223">
        <v>537</v>
      </c>
      <c r="U11" s="223">
        <f>V11+153</f>
        <v>345</v>
      </c>
      <c r="V11" s="223">
        <v>192</v>
      </c>
      <c r="W11" s="223">
        <v>595</v>
      </c>
      <c r="X11" s="223">
        <f>Y11+170</f>
        <v>383</v>
      </c>
      <c r="Y11" s="223">
        <v>213</v>
      </c>
      <c r="Z11" s="223">
        <v>575</v>
      </c>
      <c r="AA11" s="223">
        <f>AB11+164</f>
        <v>72</v>
      </c>
      <c r="AB11" s="223">
        <v>-92</v>
      </c>
      <c r="AC11" s="219">
        <v>595</v>
      </c>
      <c r="AD11" s="219">
        <f>AE11+170</f>
        <v>489</v>
      </c>
      <c r="AE11" s="219">
        <v>319</v>
      </c>
      <c r="AF11" s="219">
        <v>575</v>
      </c>
      <c r="AG11" s="219">
        <f>AH11+164</f>
        <v>472</v>
      </c>
      <c r="AH11" s="219">
        <v>308</v>
      </c>
      <c r="AI11" s="219">
        <v>613</v>
      </c>
      <c r="AJ11" s="219">
        <f>AK11+177</f>
        <v>504</v>
      </c>
      <c r="AK11" s="219">
        <v>327</v>
      </c>
      <c r="AL11" s="219"/>
      <c r="AM11" s="219"/>
      <c r="AN11" s="219"/>
      <c r="AO11" s="219"/>
      <c r="AP11" s="219"/>
      <c r="AQ11" s="219"/>
      <c r="AR11" s="219"/>
      <c r="AS11" s="219"/>
      <c r="AT11" s="219"/>
      <c r="AU11" s="219"/>
      <c r="AV11" s="219"/>
      <c r="AW11" s="219"/>
      <c r="AX11" s="219"/>
      <c r="AY11" s="219"/>
      <c r="AZ11" s="219"/>
    </row>
    <row r="12" spans="1:52" hidden="1" x14ac:dyDescent="0.35">
      <c r="A12" s="46">
        <v>45839</v>
      </c>
      <c r="B12" s="19" t="s">
        <v>1</v>
      </c>
      <c r="C12" s="19" t="s">
        <v>94</v>
      </c>
      <c r="D12" s="21" t="s">
        <v>95</v>
      </c>
      <c r="E12" s="22" t="s">
        <v>96</v>
      </c>
      <c r="F12" s="19" t="s">
        <v>97</v>
      </c>
      <c r="G12" s="27">
        <v>100000</v>
      </c>
      <c r="H12" s="47">
        <v>1</v>
      </c>
      <c r="I12" s="27">
        <f>G12*H12</f>
        <v>100000</v>
      </c>
      <c r="J12" s="48" t="s">
        <v>72</v>
      </c>
      <c r="K12" s="49">
        <v>0.5</v>
      </c>
      <c r="L12" s="27">
        <f>I12*K12</f>
        <v>50000</v>
      </c>
      <c r="M12" s="27">
        <f>I12-L12</f>
        <v>50000</v>
      </c>
      <c r="N12" s="50" t="s">
        <v>73</v>
      </c>
      <c r="O12" s="52">
        <v>46023</v>
      </c>
      <c r="P12" s="51" t="s">
        <v>98</v>
      </c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21"/>
      <c r="AD12" s="21"/>
      <c r="AE12" s="21"/>
      <c r="AF12" s="48">
        <v>50000</v>
      </c>
      <c r="AG12" s="48">
        <v>50000</v>
      </c>
      <c r="AH12" s="48">
        <v>25000</v>
      </c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</row>
    <row r="13" spans="1:52" s="216" customFormat="1" x14ac:dyDescent="0.35">
      <c r="A13" s="207">
        <v>45891</v>
      </c>
      <c r="B13" s="208" t="s">
        <v>1</v>
      </c>
      <c r="C13" s="208" t="s">
        <v>68</v>
      </c>
      <c r="D13" s="209" t="s">
        <v>90</v>
      </c>
      <c r="E13" s="210" t="s">
        <v>99</v>
      </c>
      <c r="F13" s="208" t="s">
        <v>85</v>
      </c>
      <c r="G13" s="211">
        <f>977880/12*10</f>
        <v>814900</v>
      </c>
      <c r="H13" s="212">
        <v>1</v>
      </c>
      <c r="I13" s="211">
        <f t="shared" si="2"/>
        <v>814900</v>
      </c>
      <c r="J13" s="56" t="s">
        <v>72</v>
      </c>
      <c r="K13" s="213"/>
      <c r="L13" s="211">
        <f>60488*10</f>
        <v>604880</v>
      </c>
      <c r="M13" s="211">
        <f t="shared" si="3"/>
        <v>210020</v>
      </c>
      <c r="N13" s="214" t="s">
        <v>73</v>
      </c>
      <c r="O13" s="215">
        <v>46023</v>
      </c>
      <c r="P13" s="56" t="s">
        <v>100</v>
      </c>
      <c r="Q13" s="56">
        <v>81490</v>
      </c>
      <c r="R13" s="56">
        <f>Q13-3000</f>
        <v>78490</v>
      </c>
      <c r="S13" s="56">
        <v>21002</v>
      </c>
      <c r="T13" s="56">
        <v>81490</v>
      </c>
      <c r="U13" s="56">
        <f>V13+57488</f>
        <v>78490</v>
      </c>
      <c r="V13" s="56">
        <v>21002</v>
      </c>
      <c r="W13" s="56">
        <v>81490</v>
      </c>
      <c r="X13" s="56">
        <f>Y13+58463</f>
        <v>78490</v>
      </c>
      <c r="Y13" s="56">
        <v>20027</v>
      </c>
      <c r="Z13" s="56">
        <v>81490</v>
      </c>
      <c r="AA13" s="56">
        <f>Z13-3000</f>
        <v>78490</v>
      </c>
      <c r="AB13" s="56">
        <v>21002</v>
      </c>
      <c r="AC13" s="209">
        <v>81490</v>
      </c>
      <c r="AD13" s="209">
        <f>AC13-3000</f>
        <v>78490</v>
      </c>
      <c r="AE13" s="209">
        <v>21002</v>
      </c>
      <c r="AF13" s="209">
        <v>81490</v>
      </c>
      <c r="AG13" s="209">
        <f>AF13-3000</f>
        <v>78490</v>
      </c>
      <c r="AH13" s="209">
        <v>21002</v>
      </c>
      <c r="AI13" s="209">
        <v>81490</v>
      </c>
      <c r="AJ13" s="209">
        <f>AI13-3000</f>
        <v>78490</v>
      </c>
      <c r="AK13" s="209">
        <v>21002</v>
      </c>
      <c r="AL13" s="209">
        <v>81490</v>
      </c>
      <c r="AM13" s="209">
        <f>AL13-3000</f>
        <v>78490</v>
      </c>
      <c r="AN13" s="209">
        <v>21002</v>
      </c>
      <c r="AO13" s="209">
        <v>81490</v>
      </c>
      <c r="AP13" s="209">
        <f>AO13-3000</f>
        <v>78490</v>
      </c>
      <c r="AQ13" s="209">
        <v>21002</v>
      </c>
      <c r="AR13" s="209">
        <v>81490</v>
      </c>
      <c r="AS13" s="209">
        <f>AR13-3000</f>
        <v>78490</v>
      </c>
      <c r="AT13" s="209">
        <v>21002</v>
      </c>
      <c r="AU13" s="209"/>
      <c r="AV13" s="209"/>
      <c r="AW13" s="209"/>
      <c r="AX13" s="209"/>
      <c r="AY13" s="209"/>
      <c r="AZ13" s="209"/>
    </row>
    <row r="14" spans="1:52" s="216" customFormat="1" x14ac:dyDescent="0.35">
      <c r="A14" s="207">
        <v>45901</v>
      </c>
      <c r="B14" s="208" t="s">
        <v>1</v>
      </c>
      <c r="C14" s="208" t="s">
        <v>94</v>
      </c>
      <c r="D14" s="209" t="s">
        <v>101</v>
      </c>
      <c r="E14" s="210" t="s">
        <v>102</v>
      </c>
      <c r="F14" s="208" t="s">
        <v>94</v>
      </c>
      <c r="G14" s="211">
        <v>103680</v>
      </c>
      <c r="H14" s="212">
        <v>7.9999999999999946E-2</v>
      </c>
      <c r="I14" s="211">
        <f t="shared" si="2"/>
        <v>8294.3999999999942</v>
      </c>
      <c r="J14" s="56" t="s">
        <v>81</v>
      </c>
      <c r="K14" s="213">
        <v>0.5</v>
      </c>
      <c r="L14" s="211">
        <f>I14*K14</f>
        <v>4147.1999999999971</v>
      </c>
      <c r="M14" s="211">
        <f>I14-L14</f>
        <v>4147.1999999999971</v>
      </c>
      <c r="N14" s="214" t="s">
        <v>73</v>
      </c>
      <c r="O14" s="9">
        <v>2025</v>
      </c>
      <c r="P14" s="56" t="s">
        <v>103</v>
      </c>
      <c r="Q14" s="56">
        <f>G14*50%</f>
        <v>51840</v>
      </c>
      <c r="R14" s="56">
        <f>S14+2075</f>
        <v>4147.2</v>
      </c>
      <c r="S14" s="56">
        <v>2072.1999999999998</v>
      </c>
      <c r="T14" s="56"/>
      <c r="U14" s="56"/>
      <c r="V14" s="56"/>
      <c r="W14" s="56"/>
      <c r="X14" s="56"/>
      <c r="Y14" s="56"/>
      <c r="Z14" s="56">
        <f>G14/12*3</f>
        <v>25920</v>
      </c>
      <c r="AA14" s="56">
        <f>I14/12*3</f>
        <v>2073.5999999999985</v>
      </c>
      <c r="AB14" s="56">
        <f>M14/12*3</f>
        <v>1036.7999999999993</v>
      </c>
      <c r="AC14" s="209">
        <f>G14/12</f>
        <v>8640</v>
      </c>
      <c r="AD14" s="209">
        <f>I14/12</f>
        <v>691.19999999999948</v>
      </c>
      <c r="AE14" s="209">
        <f>M14/12</f>
        <v>345.59999999999974</v>
      </c>
      <c r="AF14" s="209">
        <f>G14/12</f>
        <v>8640</v>
      </c>
      <c r="AG14" s="209">
        <f>I14/12</f>
        <v>691.19999999999948</v>
      </c>
      <c r="AH14" s="209">
        <f>M14/12</f>
        <v>345.59999999999974</v>
      </c>
      <c r="AI14" s="209">
        <f>G14/12</f>
        <v>8640</v>
      </c>
      <c r="AJ14" s="209">
        <f>I14/12</f>
        <v>691.19999999999948</v>
      </c>
      <c r="AK14" s="209">
        <f>M14/12</f>
        <v>345.59999999999974</v>
      </c>
      <c r="AL14" s="209">
        <f>G14/12</f>
        <v>8640</v>
      </c>
      <c r="AM14" s="209">
        <f>I14/12</f>
        <v>691.19999999999948</v>
      </c>
      <c r="AN14" s="209">
        <f>M14/12</f>
        <v>345.59999999999974</v>
      </c>
      <c r="AO14" s="209"/>
      <c r="AP14" s="209"/>
      <c r="AQ14" s="209"/>
      <c r="AR14" s="209"/>
      <c r="AS14" s="209"/>
      <c r="AT14" s="209"/>
      <c r="AU14" s="209"/>
      <c r="AV14" s="209"/>
      <c r="AW14" s="209"/>
      <c r="AX14" s="209"/>
      <c r="AY14" s="209"/>
      <c r="AZ14" s="209"/>
    </row>
    <row r="15" spans="1:52" s="254" customFormat="1" hidden="1" x14ac:dyDescent="0.35">
      <c r="A15" s="228">
        <v>45912</v>
      </c>
      <c r="B15" s="229" t="s">
        <v>1</v>
      </c>
      <c r="C15" s="230" t="s">
        <v>129</v>
      </c>
      <c r="D15" s="231" t="s">
        <v>130</v>
      </c>
      <c r="E15" s="232" t="s">
        <v>221</v>
      </c>
      <c r="F15" s="233" t="s">
        <v>143</v>
      </c>
      <c r="G15" s="234">
        <v>71600.002222222218</v>
      </c>
      <c r="H15" s="235">
        <v>0.23609164382086756</v>
      </c>
      <c r="I15" s="248">
        <f>G15*H15</f>
        <v>16904.162222222214</v>
      </c>
      <c r="J15" s="249" t="s">
        <v>72</v>
      </c>
      <c r="K15" s="250">
        <v>0.5</v>
      </c>
      <c r="L15" s="248">
        <f>I15*K15</f>
        <v>8452.081111111107</v>
      </c>
      <c r="M15" s="248">
        <f>I15-L15</f>
        <v>8452.081111111107</v>
      </c>
      <c r="N15" s="251" t="s">
        <v>73</v>
      </c>
      <c r="O15" s="252">
        <v>46204</v>
      </c>
      <c r="P15" s="253" t="s">
        <v>320</v>
      </c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31"/>
      <c r="AD15" s="231"/>
      <c r="AE15" s="231"/>
      <c r="AF15" s="249">
        <f>G15</f>
        <v>71600.002222222218</v>
      </c>
      <c r="AG15" s="249">
        <f>I15</f>
        <v>16904.162222222214</v>
      </c>
      <c r="AH15" s="249">
        <f>M15</f>
        <v>8452.081111111107</v>
      </c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</row>
    <row r="16" spans="1:52" s="227" customFormat="1" hidden="1" x14ac:dyDescent="0.35">
      <c r="A16" s="217">
        <v>45952</v>
      </c>
      <c r="B16" s="218" t="s">
        <v>1</v>
      </c>
      <c r="C16" s="218" t="s">
        <v>94</v>
      </c>
      <c r="D16" s="219" t="s">
        <v>110</v>
      </c>
      <c r="E16" s="220" t="s">
        <v>111</v>
      </c>
      <c r="F16" s="218" t="s">
        <v>105</v>
      </c>
      <c r="G16" s="221">
        <v>74568.05</v>
      </c>
      <c r="H16" s="222">
        <v>6.2243177875779279E-2</v>
      </c>
      <c r="I16" s="221">
        <f>G16*H16</f>
        <v>4641.3524000000034</v>
      </c>
      <c r="J16" s="223" t="s">
        <v>72</v>
      </c>
      <c r="K16" s="224">
        <v>0.5</v>
      </c>
      <c r="L16" s="221">
        <f>I16*K16</f>
        <v>2320.6762000000017</v>
      </c>
      <c r="M16" s="221">
        <f>I16-L16</f>
        <v>2320.6762000000017</v>
      </c>
      <c r="N16" s="225" t="s">
        <v>73</v>
      </c>
      <c r="O16" s="226">
        <v>46054</v>
      </c>
      <c r="P16" s="223" t="s">
        <v>112</v>
      </c>
      <c r="Q16" s="223">
        <f>G16</f>
        <v>74568.05</v>
      </c>
      <c r="R16" s="223">
        <f>S16+2320</f>
        <v>4640.76</v>
      </c>
      <c r="S16" s="223">
        <v>2320.7600000000002</v>
      </c>
      <c r="T16" s="223"/>
      <c r="U16" s="223"/>
      <c r="V16" s="223"/>
      <c r="W16" s="223"/>
      <c r="X16" s="223"/>
      <c r="Y16" s="223"/>
      <c r="Z16" s="223"/>
      <c r="AA16" s="223"/>
      <c r="AB16" s="223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  <c r="AX16" s="219"/>
      <c r="AY16" s="219"/>
      <c r="AZ16" s="219"/>
    </row>
    <row r="17" spans="1:52" s="227" customFormat="1" hidden="1" x14ac:dyDescent="0.35">
      <c r="A17" s="217">
        <v>45974</v>
      </c>
      <c r="B17" s="218" t="s">
        <v>1</v>
      </c>
      <c r="C17" s="218" t="s">
        <v>68</v>
      </c>
      <c r="D17" s="219" t="s">
        <v>90</v>
      </c>
      <c r="E17" s="220" t="s">
        <v>104</v>
      </c>
      <c r="F17" s="218" t="s">
        <v>105</v>
      </c>
      <c r="G17" s="221">
        <v>38274.652000000002</v>
      </c>
      <c r="H17" s="222">
        <v>0.50999164669087005</v>
      </c>
      <c r="I17" s="221">
        <f t="shared" si="2"/>
        <v>19519.752800000002</v>
      </c>
      <c r="J17" s="223" t="s">
        <v>72</v>
      </c>
      <c r="K17" s="224">
        <v>0.5</v>
      </c>
      <c r="L17" s="221">
        <f>I17*K17</f>
        <v>9759.876400000001</v>
      </c>
      <c r="M17" s="221">
        <f t="shared" si="3"/>
        <v>9759.876400000001</v>
      </c>
      <c r="N17" s="225" t="s">
        <v>73</v>
      </c>
      <c r="O17" s="226">
        <v>46054</v>
      </c>
      <c r="P17" s="223" t="s">
        <v>106</v>
      </c>
      <c r="Q17" s="223">
        <v>38274.652000000002</v>
      </c>
      <c r="R17" s="223">
        <f>S17+9108</f>
        <v>19241.559999999998</v>
      </c>
      <c r="S17" s="223">
        <v>10133.56</v>
      </c>
      <c r="T17" s="223"/>
      <c r="U17" s="223"/>
      <c r="V17" s="223"/>
      <c r="W17" s="223"/>
      <c r="X17" s="223"/>
      <c r="Y17" s="223"/>
      <c r="Z17" s="223"/>
      <c r="AA17" s="223"/>
      <c r="AB17" s="223"/>
      <c r="AC17" s="219"/>
      <c r="AD17" s="219"/>
      <c r="AE17" s="219"/>
      <c r="AF17" s="219"/>
      <c r="AG17" s="219"/>
      <c r="AH17" s="219"/>
      <c r="AI17" s="219"/>
      <c r="AJ17" s="219"/>
      <c r="AK17" s="219"/>
      <c r="AL17" s="219"/>
      <c r="AM17" s="219"/>
      <c r="AN17" s="219"/>
      <c r="AO17" s="219"/>
      <c r="AP17" s="219"/>
      <c r="AQ17" s="219"/>
      <c r="AR17" s="219"/>
      <c r="AS17" s="219"/>
      <c r="AT17" s="219"/>
      <c r="AU17" s="219"/>
      <c r="AV17" s="219"/>
      <c r="AW17" s="219"/>
      <c r="AX17" s="219"/>
      <c r="AY17" s="219"/>
      <c r="AZ17" s="219"/>
    </row>
    <row r="18" spans="1:52" s="216" customFormat="1" x14ac:dyDescent="0.35">
      <c r="A18" s="236">
        <v>45974</v>
      </c>
      <c r="B18" s="208" t="s">
        <v>1</v>
      </c>
      <c r="C18" s="237" t="s">
        <v>137</v>
      </c>
      <c r="D18" s="209" t="s">
        <v>78</v>
      </c>
      <c r="E18" s="210" t="s">
        <v>138</v>
      </c>
      <c r="F18" s="208" t="s">
        <v>80</v>
      </c>
      <c r="G18" s="239">
        <v>2315.0202777777781</v>
      </c>
      <c r="H18" s="240">
        <v>0.13607668183372057</v>
      </c>
      <c r="I18" s="211">
        <f t="shared" si="2"/>
        <v>315.02027777777812</v>
      </c>
      <c r="J18" s="56" t="s">
        <v>81</v>
      </c>
      <c r="K18" s="213">
        <v>0.5</v>
      </c>
      <c r="L18" s="211">
        <f>I18*K18</f>
        <v>157.51013888888906</v>
      </c>
      <c r="M18" s="211">
        <f t="shared" si="3"/>
        <v>157.51013888888906</v>
      </c>
      <c r="N18" s="214" t="s">
        <v>73</v>
      </c>
      <c r="O18" s="215">
        <v>46082</v>
      </c>
      <c r="P18" s="56" t="s">
        <v>223</v>
      </c>
      <c r="Q18" s="56"/>
      <c r="R18" s="56"/>
      <c r="S18" s="56"/>
      <c r="T18" s="56"/>
      <c r="U18" s="56"/>
      <c r="V18" s="56"/>
      <c r="W18" s="56"/>
      <c r="X18" s="56"/>
      <c r="Y18" s="56"/>
      <c r="Z18" s="56">
        <f>G18</f>
        <v>2315.0202777777781</v>
      </c>
      <c r="AA18" s="56">
        <f>I18</f>
        <v>315.02027777777812</v>
      </c>
      <c r="AB18" s="56">
        <f>M18</f>
        <v>157.51013888888906</v>
      </c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09"/>
      <c r="AX18" s="209"/>
      <c r="AY18" s="209"/>
      <c r="AZ18" s="209"/>
    </row>
    <row r="19" spans="1:52" hidden="1" x14ac:dyDescent="0.35">
      <c r="A19" s="46">
        <v>45980</v>
      </c>
      <c r="B19" s="19" t="s">
        <v>1</v>
      </c>
      <c r="C19" s="19" t="s">
        <v>94</v>
      </c>
      <c r="D19" s="21" t="s">
        <v>107</v>
      </c>
      <c r="E19" s="22" t="s">
        <v>108</v>
      </c>
      <c r="F19" s="19" t="s">
        <v>80</v>
      </c>
      <c r="G19" s="27">
        <v>7757.88</v>
      </c>
      <c r="H19" s="47">
        <f>I19/G19</f>
        <v>0.12114649878575075</v>
      </c>
      <c r="I19" s="27">
        <v>939.84</v>
      </c>
      <c r="J19" s="48" t="s">
        <v>81</v>
      </c>
      <c r="K19" s="49">
        <v>0.5</v>
      </c>
      <c r="L19" s="27">
        <v>388</v>
      </c>
      <c r="M19" s="27">
        <f>I19-L19</f>
        <v>551.84</v>
      </c>
      <c r="N19" s="50" t="s">
        <v>73</v>
      </c>
      <c r="O19" s="52">
        <v>2025</v>
      </c>
      <c r="P19" s="48" t="s">
        <v>109</v>
      </c>
      <c r="Q19" s="48">
        <v>7757.88</v>
      </c>
      <c r="R19" s="48">
        <f>S19+388</f>
        <v>939.84</v>
      </c>
      <c r="S19" s="48">
        <f>M19</f>
        <v>551.84</v>
      </c>
      <c r="T19" s="48"/>
      <c r="U19" s="48"/>
      <c r="V19" s="48"/>
      <c r="W19" s="48"/>
      <c r="X19" s="48"/>
      <c r="Y19" s="48"/>
      <c r="Z19" s="48"/>
      <c r="AA19" s="48"/>
      <c r="AB19" s="48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</row>
    <row r="20" spans="1:52" ht="15.5" hidden="1" customHeight="1" x14ac:dyDescent="0.35">
      <c r="A20" s="46">
        <v>46014</v>
      </c>
      <c r="B20" s="19" t="s">
        <v>1</v>
      </c>
      <c r="C20" s="19" t="s">
        <v>113</v>
      </c>
      <c r="D20" s="21" t="s">
        <v>83</v>
      </c>
      <c r="E20" s="22" t="s">
        <v>227</v>
      </c>
      <c r="F20" s="19" t="s">
        <v>68</v>
      </c>
      <c r="G20" s="27">
        <v>12500</v>
      </c>
      <c r="H20" s="47">
        <v>1</v>
      </c>
      <c r="I20" s="27">
        <f>G20*H20</f>
        <v>12500</v>
      </c>
      <c r="J20" s="48" t="s">
        <v>72</v>
      </c>
      <c r="K20" s="49">
        <v>0.5</v>
      </c>
      <c r="L20" s="27">
        <f>I20*K20</f>
        <v>6250</v>
      </c>
      <c r="M20" s="27">
        <f t="shared" si="3"/>
        <v>6250</v>
      </c>
      <c r="N20" s="50" t="s">
        <v>73</v>
      </c>
      <c r="O20" s="52">
        <v>46054</v>
      </c>
      <c r="P20" s="48" t="s">
        <v>114</v>
      </c>
      <c r="Q20" s="48">
        <v>12500</v>
      </c>
      <c r="R20" s="48">
        <f>Q20</f>
        <v>12500</v>
      </c>
      <c r="S20" s="48">
        <f>R20*30%</f>
        <v>3750</v>
      </c>
      <c r="T20" s="48"/>
      <c r="U20" s="48"/>
      <c r="V20" s="48"/>
      <c r="W20" s="48"/>
      <c r="X20" s="48"/>
      <c r="Y20" s="48"/>
      <c r="Z20" s="48"/>
      <c r="AA20" s="48"/>
      <c r="AB20" s="48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</row>
    <row r="21" spans="1:52" s="227" customFormat="1" hidden="1" x14ac:dyDescent="0.35">
      <c r="A21" s="217">
        <v>46023</v>
      </c>
      <c r="B21" s="218" t="s">
        <v>1</v>
      </c>
      <c r="C21" s="218" t="s">
        <v>68</v>
      </c>
      <c r="D21" s="219" t="s">
        <v>101</v>
      </c>
      <c r="E21" s="220" t="s">
        <v>146</v>
      </c>
      <c r="F21" s="218" t="s">
        <v>71</v>
      </c>
      <c r="G21" s="221">
        <v>41971.43</v>
      </c>
      <c r="H21" s="222">
        <v>1</v>
      </c>
      <c r="I21" s="221">
        <f>H21*G21</f>
        <v>41971.43</v>
      </c>
      <c r="J21" s="223" t="s">
        <v>72</v>
      </c>
      <c r="K21" s="224">
        <v>0.2</v>
      </c>
      <c r="L21" s="221">
        <f>I21*K21</f>
        <v>8394.2860000000001</v>
      </c>
      <c r="M21" s="221">
        <f>I21-L21</f>
        <v>33577.144</v>
      </c>
      <c r="N21" s="225" t="s">
        <v>73</v>
      </c>
      <c r="O21" s="226">
        <v>46082</v>
      </c>
      <c r="P21" s="223" t="s">
        <v>300</v>
      </c>
      <c r="Q21" s="223"/>
      <c r="R21" s="223"/>
      <c r="S21" s="223"/>
      <c r="T21" s="223"/>
      <c r="U21" s="223"/>
      <c r="V21" s="223"/>
      <c r="W21" s="223">
        <f>G21</f>
        <v>41971.43</v>
      </c>
      <c r="X21" s="223">
        <f>Y21+8394</f>
        <v>41971.43</v>
      </c>
      <c r="Y21" s="223">
        <v>33577.43</v>
      </c>
      <c r="Z21" s="223"/>
      <c r="AA21" s="223"/>
      <c r="AB21" s="223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219"/>
      <c r="AU21" s="219"/>
      <c r="AV21" s="219"/>
      <c r="AW21" s="219"/>
      <c r="AX21" s="219"/>
      <c r="AY21" s="219"/>
      <c r="AZ21" s="219"/>
    </row>
    <row r="22" spans="1:52" hidden="1" x14ac:dyDescent="0.35">
      <c r="A22" s="46">
        <v>46023</v>
      </c>
      <c r="B22" s="19" t="s">
        <v>1</v>
      </c>
      <c r="C22" s="19" t="s">
        <v>68</v>
      </c>
      <c r="D22" s="21" t="s">
        <v>107</v>
      </c>
      <c r="E22" s="22" t="s">
        <v>212</v>
      </c>
      <c r="F22" s="19" t="s">
        <v>85</v>
      </c>
      <c r="G22" s="27">
        <f>(363820.96*3)</f>
        <v>1091462.8800000001</v>
      </c>
      <c r="H22" s="47">
        <v>1</v>
      </c>
      <c r="I22" s="27">
        <f>G22*H22</f>
        <v>1091462.8800000001</v>
      </c>
      <c r="J22" s="48" t="s">
        <v>81</v>
      </c>
      <c r="K22" s="49"/>
      <c r="L22" s="27">
        <f>G22*(1-12.56%)</f>
        <v>954375.14227200008</v>
      </c>
      <c r="M22" s="27">
        <f>(I22*12.56%)*80%</f>
        <v>109670.19018240004</v>
      </c>
      <c r="N22" s="50" t="s">
        <v>73</v>
      </c>
      <c r="O22" s="52">
        <v>46082</v>
      </c>
      <c r="P22" s="48" t="s">
        <v>211</v>
      </c>
      <c r="Q22" s="48"/>
      <c r="R22" s="48"/>
      <c r="S22" s="48"/>
      <c r="T22" s="48">
        <f>363820.96*2</f>
        <v>727641.92</v>
      </c>
      <c r="U22" s="48">
        <f>V22+496250+140000</f>
        <v>727641.92</v>
      </c>
      <c r="V22" s="48">
        <v>91391.920000000042</v>
      </c>
      <c r="W22" s="48">
        <v>363820.96</v>
      </c>
      <c r="X22" s="48">
        <f>Y22+318125</f>
        <v>363820.96</v>
      </c>
      <c r="Y22" s="48">
        <v>45695.960000000021</v>
      </c>
      <c r="Z22" s="48"/>
      <c r="AA22" s="48"/>
      <c r="AB22" s="48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</row>
    <row r="23" spans="1:52" x14ac:dyDescent="0.35">
      <c r="A23" s="46">
        <v>46023</v>
      </c>
      <c r="B23" s="19" t="s">
        <v>1</v>
      </c>
      <c r="C23" s="19" t="s">
        <v>68</v>
      </c>
      <c r="D23" s="21" t="s">
        <v>107</v>
      </c>
      <c r="E23" s="22" t="s">
        <v>212</v>
      </c>
      <c r="F23" s="19" t="s">
        <v>85</v>
      </c>
      <c r="G23" s="27">
        <f>(363820.96*3+334881.49)</f>
        <v>1426344.37</v>
      </c>
      <c r="H23" s="47">
        <v>1</v>
      </c>
      <c r="I23" s="27">
        <f>G23*H23</f>
        <v>1426344.37</v>
      </c>
      <c r="J23" s="48" t="s">
        <v>81</v>
      </c>
      <c r="K23" s="49"/>
      <c r="L23" s="27">
        <f>G23*(1-12.56%)</f>
        <v>1247195.517128</v>
      </c>
      <c r="M23" s="27">
        <f>(I23*12.56%)*80%</f>
        <v>143319.08229760005</v>
      </c>
      <c r="N23" s="50" t="s">
        <v>73</v>
      </c>
      <c r="O23" s="52">
        <v>46174</v>
      </c>
      <c r="P23" s="48" t="s">
        <v>211</v>
      </c>
      <c r="Q23" s="48"/>
      <c r="R23" s="48"/>
      <c r="S23" s="48"/>
      <c r="T23" s="48"/>
      <c r="U23" s="48"/>
      <c r="V23" s="48"/>
      <c r="W23" s="48"/>
      <c r="X23" s="48"/>
      <c r="Y23" s="48"/>
      <c r="Z23" s="48">
        <v>363820.95999999996</v>
      </c>
      <c r="AA23" s="48">
        <v>363820.95999999996</v>
      </c>
      <c r="AB23" s="48">
        <v>36141.323778742866</v>
      </c>
      <c r="AC23" s="21">
        <v>363820.95999999996</v>
      </c>
      <c r="AD23" s="21">
        <v>363820.95999999996</v>
      </c>
      <c r="AE23" s="21">
        <v>36141.323778742866</v>
      </c>
      <c r="AF23" s="21">
        <v>363820.95999999996</v>
      </c>
      <c r="AG23" s="21">
        <v>363820.95999999996</v>
      </c>
      <c r="AH23" s="21">
        <v>36141.323778742866</v>
      </c>
      <c r="AI23" s="21">
        <v>334881.49</v>
      </c>
      <c r="AJ23" s="21">
        <v>334881.49</v>
      </c>
      <c r="AK23" s="21">
        <v>36141.323778742866</v>
      </c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</row>
    <row r="24" spans="1:52" hidden="1" x14ac:dyDescent="0.35">
      <c r="A24" s="46">
        <v>46024</v>
      </c>
      <c r="B24" s="19" t="s">
        <v>1</v>
      </c>
      <c r="C24" s="23" t="s">
        <v>68</v>
      </c>
      <c r="D24" s="21" t="s">
        <v>115</v>
      </c>
      <c r="E24" s="22" t="s">
        <v>116</v>
      </c>
      <c r="F24" s="24" t="s">
        <v>117</v>
      </c>
      <c r="G24" s="27">
        <v>110000</v>
      </c>
      <c r="H24" s="47">
        <v>0.15</v>
      </c>
      <c r="I24" s="27">
        <f t="shared" ref="I24:I27" si="4">H24*G24</f>
        <v>16500</v>
      </c>
      <c r="J24" s="48" t="s">
        <v>81</v>
      </c>
      <c r="K24" s="49">
        <v>0.5</v>
      </c>
      <c r="L24" s="27">
        <f>I24*K24</f>
        <v>8250</v>
      </c>
      <c r="M24" s="27">
        <f t="shared" ref="M24" si="5">I24-L24</f>
        <v>8250</v>
      </c>
      <c r="N24" s="50" t="s">
        <v>73</v>
      </c>
      <c r="O24" s="52">
        <v>46204</v>
      </c>
      <c r="P24" s="20" t="s">
        <v>118</v>
      </c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>
        <f>G24</f>
        <v>110000</v>
      </c>
      <c r="AY24" s="21">
        <f>I24</f>
        <v>16500</v>
      </c>
      <c r="AZ24" s="21">
        <f>M24</f>
        <v>8250</v>
      </c>
    </row>
    <row r="25" spans="1:52" s="216" customFormat="1" x14ac:dyDescent="0.35">
      <c r="A25" s="207">
        <v>46024</v>
      </c>
      <c r="B25" s="208" t="s">
        <v>1</v>
      </c>
      <c r="C25" s="238" t="s">
        <v>68</v>
      </c>
      <c r="D25" s="209" t="s">
        <v>101</v>
      </c>
      <c r="E25" s="210" t="s">
        <v>119</v>
      </c>
      <c r="F25" s="9" t="s">
        <v>71</v>
      </c>
      <c r="G25" s="239">
        <v>1214439.48</v>
      </c>
      <c r="H25" s="244">
        <v>0.11258212984973107</v>
      </c>
      <c r="I25" s="211">
        <f t="shared" si="4"/>
        <v>136724.18323199986</v>
      </c>
      <c r="J25" s="56" t="s">
        <v>72</v>
      </c>
      <c r="K25" s="213">
        <v>0.5</v>
      </c>
      <c r="L25" s="211">
        <f>I25*K25</f>
        <v>68362.091615999932</v>
      </c>
      <c r="M25" s="211">
        <f t="shared" ref="M25:M53" si="6">I25-L25</f>
        <v>68362.091615999932</v>
      </c>
      <c r="N25" s="214" t="s">
        <v>73</v>
      </c>
      <c r="O25" s="215">
        <v>46113</v>
      </c>
      <c r="P25" s="243" t="s">
        <v>120</v>
      </c>
      <c r="Q25" s="56">
        <v>246606.28</v>
      </c>
      <c r="R25" s="56">
        <f>S25+17855</f>
        <v>35708.28</v>
      </c>
      <c r="S25" s="56">
        <v>17853.28</v>
      </c>
      <c r="T25" s="56">
        <v>94775.91</v>
      </c>
      <c r="U25" s="56">
        <f>V25+6375+102</f>
        <v>12955.91</v>
      </c>
      <c r="V25" s="56">
        <v>6478.91</v>
      </c>
      <c r="W25" s="56"/>
      <c r="X25" s="56"/>
      <c r="Y25" s="56"/>
      <c r="Z25" s="56">
        <v>102471.84</v>
      </c>
      <c r="AA25" s="56">
        <f>AB25+14270.84</f>
        <v>21407.68</v>
      </c>
      <c r="AB25" s="56">
        <v>7136.84</v>
      </c>
      <c r="AC25" s="209">
        <f>G25/12</f>
        <v>101203.29</v>
      </c>
      <c r="AD25" s="209">
        <f>I25/12</f>
        <v>11393.681935999988</v>
      </c>
      <c r="AE25" s="209">
        <f>M25/12</f>
        <v>5696.8409679999941</v>
      </c>
      <c r="AF25" s="209">
        <f>G25/12</f>
        <v>101203.29</v>
      </c>
      <c r="AG25" s="209">
        <f>I25/12</f>
        <v>11393.681935999988</v>
      </c>
      <c r="AH25" s="209">
        <f>M25/12</f>
        <v>5696.8409679999941</v>
      </c>
      <c r="AI25" s="209">
        <f>G25/12</f>
        <v>101203.29</v>
      </c>
      <c r="AJ25" s="209">
        <f>I25/12</f>
        <v>11393.681935999988</v>
      </c>
      <c r="AK25" s="209">
        <f>M25/12</f>
        <v>5696.8409679999941</v>
      </c>
      <c r="AL25" s="209">
        <f>G25/12</f>
        <v>101203.29</v>
      </c>
      <c r="AM25" s="209">
        <f>I25/12</f>
        <v>11393.681935999988</v>
      </c>
      <c r="AN25" s="209">
        <f>M25/12</f>
        <v>5696.8409679999941</v>
      </c>
      <c r="AO25" s="209">
        <f>G25/12</f>
        <v>101203.29</v>
      </c>
      <c r="AP25" s="209">
        <f>I25/12</f>
        <v>11393.681935999988</v>
      </c>
      <c r="AQ25" s="209">
        <f>M25/12</f>
        <v>5696.8409679999941</v>
      </c>
      <c r="AR25" s="209">
        <f>(G25-(SUM(Q25+T25+W25+Z25+AC25+AF25+AI25+AL25+AO25)))</f>
        <v>264568.99999999977</v>
      </c>
      <c r="AS25" s="209">
        <f>(I25-(SUM(R25+U25+X25+AA25+AD25+AG25+AJ25+AM25+AP25)))</f>
        <v>9683.9035519999015</v>
      </c>
      <c r="AT25" s="209">
        <f>(M25-(SUM(S25+V25+Y25+AB25+AE25+AH25+AK25+AN25+AQ25)))</f>
        <v>8408.8567759999496</v>
      </c>
      <c r="AU25" s="209"/>
      <c r="AV25" s="209"/>
      <c r="AW25" s="209"/>
      <c r="AX25" s="209"/>
      <c r="AY25" s="209"/>
      <c r="AZ25" s="209"/>
    </row>
    <row r="26" spans="1:52" s="227" customFormat="1" hidden="1" x14ac:dyDescent="0.35">
      <c r="A26" s="217">
        <v>46024</v>
      </c>
      <c r="B26" s="218" t="s">
        <v>1</v>
      </c>
      <c r="C26" s="218" t="s">
        <v>68</v>
      </c>
      <c r="D26" s="219" t="s">
        <v>101</v>
      </c>
      <c r="E26" s="220" t="s">
        <v>121</v>
      </c>
      <c r="F26" s="218" t="s">
        <v>71</v>
      </c>
      <c r="G26" s="221">
        <v>752794.99</v>
      </c>
      <c r="H26" s="222">
        <v>8.7141520429087904E-2</v>
      </c>
      <c r="I26" s="221">
        <f t="shared" si="4"/>
        <v>65599.700000000026</v>
      </c>
      <c r="J26" s="223" t="s">
        <v>72</v>
      </c>
      <c r="K26" s="224">
        <v>0.5</v>
      </c>
      <c r="L26" s="221">
        <f>I26*K26</f>
        <v>32799.850000000013</v>
      </c>
      <c r="M26" s="221">
        <f>I26-L26</f>
        <v>32799.850000000013</v>
      </c>
      <c r="N26" s="225" t="s">
        <v>73</v>
      </c>
      <c r="O26" s="226">
        <v>46054</v>
      </c>
      <c r="P26" s="223" t="s">
        <v>122</v>
      </c>
      <c r="Q26" s="223">
        <f>G26</f>
        <v>752794.99</v>
      </c>
      <c r="R26" s="223">
        <f>S26+32800</f>
        <v>65599.7</v>
      </c>
      <c r="S26" s="223">
        <v>32799.699999999997</v>
      </c>
      <c r="T26" s="223"/>
      <c r="U26" s="223"/>
      <c r="V26" s="223"/>
      <c r="W26" s="223"/>
      <c r="X26" s="223"/>
      <c r="Y26" s="223"/>
      <c r="Z26" s="223"/>
      <c r="AA26" s="223"/>
      <c r="AB26" s="223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</row>
    <row r="27" spans="1:52" s="227" customFormat="1" x14ac:dyDescent="0.35">
      <c r="A27" s="217">
        <v>46030</v>
      </c>
      <c r="B27" s="218" t="s">
        <v>1</v>
      </c>
      <c r="C27" s="218" t="s">
        <v>132</v>
      </c>
      <c r="D27" s="219" t="s">
        <v>90</v>
      </c>
      <c r="E27" s="220" t="s">
        <v>309</v>
      </c>
      <c r="F27" s="218" t="s">
        <v>143</v>
      </c>
      <c r="G27" s="221">
        <v>235181.03999999995</v>
      </c>
      <c r="H27" s="222">
        <v>0.17691682628837715</v>
      </c>
      <c r="I27" s="221">
        <f t="shared" si="4"/>
        <v>41607.483199999871</v>
      </c>
      <c r="J27" s="223" t="s">
        <v>81</v>
      </c>
      <c r="K27" s="224">
        <v>0.5</v>
      </c>
      <c r="L27" s="221">
        <f>I27*K27</f>
        <v>20803.741599999936</v>
      </c>
      <c r="M27" s="221">
        <f>I27-L27</f>
        <v>20803.741599999936</v>
      </c>
      <c r="N27" s="225" t="s">
        <v>73</v>
      </c>
      <c r="O27" s="226">
        <v>46143</v>
      </c>
      <c r="P27" s="223" t="s">
        <v>311</v>
      </c>
      <c r="Q27" s="223"/>
      <c r="R27" s="223"/>
      <c r="S27" s="223"/>
      <c r="T27" s="223"/>
      <c r="U27" s="223"/>
      <c r="V27" s="223"/>
      <c r="W27" s="223"/>
      <c r="X27" s="223"/>
      <c r="Y27" s="223"/>
      <c r="Z27" s="223">
        <f>G27</f>
        <v>235181.03999999995</v>
      </c>
      <c r="AA27" s="223">
        <f>AB27+20804</f>
        <v>41878.720000000001</v>
      </c>
      <c r="AB27" s="223">
        <v>21074.720000000001</v>
      </c>
      <c r="AC27" s="219"/>
      <c r="AD27" s="219"/>
      <c r="AE27" s="219"/>
      <c r="AF27" s="219"/>
      <c r="AG27" s="219"/>
      <c r="AH27" s="219"/>
      <c r="AI27" s="21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219"/>
      <c r="AU27" s="219"/>
      <c r="AV27" s="219"/>
      <c r="AW27" s="219"/>
      <c r="AX27" s="219"/>
      <c r="AY27" s="219"/>
      <c r="AZ27" s="219"/>
    </row>
    <row r="28" spans="1:52" hidden="1" x14ac:dyDescent="0.35">
      <c r="A28" s="46">
        <v>46034</v>
      </c>
      <c r="B28" s="19" t="s">
        <v>1</v>
      </c>
      <c r="C28" s="19" t="s">
        <v>89</v>
      </c>
      <c r="D28" s="21" t="s">
        <v>83</v>
      </c>
      <c r="E28" s="22" t="s">
        <v>198</v>
      </c>
      <c r="F28" s="19" t="s">
        <v>89</v>
      </c>
      <c r="G28" s="27">
        <v>4875</v>
      </c>
      <c r="H28" s="47">
        <v>0.28000000000000003</v>
      </c>
      <c r="I28" s="27">
        <f t="shared" ref="I28" si="7">H28*G28</f>
        <v>1365.0000000000002</v>
      </c>
      <c r="J28" s="48" t="s">
        <v>72</v>
      </c>
      <c r="K28" s="49">
        <v>0.5</v>
      </c>
      <c r="L28" s="27">
        <f t="shared" ref="L28:L53" si="8">I28*K28</f>
        <v>682.50000000000011</v>
      </c>
      <c r="M28" s="27">
        <f t="shared" si="6"/>
        <v>682.50000000000011</v>
      </c>
      <c r="N28" s="50" t="s">
        <v>73</v>
      </c>
      <c r="O28" s="52">
        <v>46054</v>
      </c>
      <c r="P28" s="48" t="s">
        <v>199</v>
      </c>
      <c r="Q28" s="48"/>
      <c r="R28" s="48"/>
      <c r="S28" s="48"/>
      <c r="T28" s="48">
        <f>G28</f>
        <v>4875</v>
      </c>
      <c r="U28" s="48">
        <f>V28+682</f>
        <v>1365</v>
      </c>
      <c r="V28" s="48">
        <v>683</v>
      </c>
      <c r="W28" s="48"/>
      <c r="X28" s="48"/>
      <c r="Y28" s="48"/>
      <c r="Z28" s="48"/>
      <c r="AA28" s="48"/>
      <c r="AB28" s="48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</row>
    <row r="29" spans="1:52" s="254" customFormat="1" hidden="1" x14ac:dyDescent="0.35">
      <c r="A29" s="228">
        <v>46036</v>
      </c>
      <c r="B29" s="229" t="s">
        <v>1</v>
      </c>
      <c r="C29" s="230" t="s">
        <v>139</v>
      </c>
      <c r="D29" s="231" t="s">
        <v>101</v>
      </c>
      <c r="E29" s="232" t="s">
        <v>222</v>
      </c>
      <c r="F29" s="233" t="s">
        <v>105</v>
      </c>
      <c r="G29" s="234">
        <v>635053.04357677686</v>
      </c>
      <c r="H29" s="235">
        <v>5.2917079161712642E-2</v>
      </c>
      <c r="I29" s="248">
        <f t="shared" ref="I29:I53" si="9">H29*G29</f>
        <v>33605.152178838849</v>
      </c>
      <c r="J29" s="249" t="s">
        <v>72</v>
      </c>
      <c r="K29" s="250">
        <v>0.5</v>
      </c>
      <c r="L29" s="248">
        <f t="shared" si="8"/>
        <v>16802.576089419425</v>
      </c>
      <c r="M29" s="248">
        <f t="shared" si="6"/>
        <v>16802.576089419425</v>
      </c>
      <c r="N29" s="251" t="s">
        <v>73</v>
      </c>
      <c r="O29" s="252">
        <v>46204</v>
      </c>
      <c r="P29" s="253" t="s">
        <v>225</v>
      </c>
      <c r="Q29" s="249"/>
      <c r="R29" s="249"/>
      <c r="S29" s="249"/>
      <c r="T29" s="249"/>
      <c r="U29" s="249"/>
      <c r="V29" s="249"/>
      <c r="W29" s="249"/>
      <c r="X29" s="249"/>
      <c r="Y29" s="249"/>
      <c r="Z29" s="249"/>
      <c r="AA29" s="249"/>
      <c r="AB29" s="249"/>
      <c r="AC29" s="231">
        <f>G29</f>
        <v>635053.04357677686</v>
      </c>
      <c r="AD29" s="231">
        <f>I29</f>
        <v>33605.152178838849</v>
      </c>
      <c r="AE29" s="231">
        <f>M29</f>
        <v>16802.576089419425</v>
      </c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1"/>
      <c r="AR29" s="231"/>
      <c r="AS29" s="231"/>
      <c r="AT29" s="231"/>
      <c r="AU29" s="231"/>
      <c r="AV29" s="231"/>
      <c r="AW29" s="231"/>
      <c r="AX29" s="231"/>
      <c r="AY29" s="231"/>
      <c r="AZ29" s="231"/>
    </row>
    <row r="30" spans="1:52" hidden="1" x14ac:dyDescent="0.35">
      <c r="A30" s="18">
        <v>46048</v>
      </c>
      <c r="B30" s="19" t="s">
        <v>1</v>
      </c>
      <c r="C30" s="19" t="s">
        <v>113</v>
      </c>
      <c r="D30" s="21" t="s">
        <v>83</v>
      </c>
      <c r="E30" s="22" t="s">
        <v>228</v>
      </c>
      <c r="F30" s="19" t="s">
        <v>68</v>
      </c>
      <c r="G30" s="27">
        <v>12500</v>
      </c>
      <c r="H30" s="47">
        <v>1</v>
      </c>
      <c r="I30" s="27">
        <f>G30*H30</f>
        <v>12500</v>
      </c>
      <c r="J30" s="48" t="s">
        <v>72</v>
      </c>
      <c r="K30" s="49">
        <v>0.5</v>
      </c>
      <c r="L30" s="27">
        <f>I30*K30</f>
        <v>6250</v>
      </c>
      <c r="M30" s="27">
        <f t="shared" si="6"/>
        <v>6250</v>
      </c>
      <c r="N30" s="50" t="s">
        <v>73</v>
      </c>
      <c r="O30" s="52">
        <v>46082</v>
      </c>
      <c r="P30" s="48" t="s">
        <v>224</v>
      </c>
      <c r="Q30" s="48"/>
      <c r="R30" s="48"/>
      <c r="S30" s="48"/>
      <c r="T30" s="48">
        <f>G30</f>
        <v>12500</v>
      </c>
      <c r="U30" s="48">
        <f>V30+6250</f>
        <v>12500</v>
      </c>
      <c r="V30" s="48">
        <f>M30</f>
        <v>6250</v>
      </c>
      <c r="W30" s="48"/>
      <c r="X30" s="48"/>
      <c r="Y30" s="48"/>
      <c r="Z30" s="48"/>
      <c r="AA30" s="48"/>
      <c r="AB30" s="48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</row>
    <row r="31" spans="1:52" hidden="1" x14ac:dyDescent="0.35">
      <c r="A31" s="18">
        <v>46049</v>
      </c>
      <c r="B31" s="19" t="s">
        <v>1</v>
      </c>
      <c r="C31" s="23" t="s">
        <v>94</v>
      </c>
      <c r="D31" s="21" t="s">
        <v>153</v>
      </c>
      <c r="E31" s="22" t="s">
        <v>205</v>
      </c>
      <c r="F31" s="24" t="s">
        <v>94</v>
      </c>
      <c r="G31" s="25">
        <f>60*20</f>
        <v>1200</v>
      </c>
      <c r="H31" s="26">
        <v>0.3</v>
      </c>
      <c r="I31" s="27">
        <f t="shared" si="9"/>
        <v>360</v>
      </c>
      <c r="J31" s="48" t="s">
        <v>81</v>
      </c>
      <c r="K31" s="49">
        <v>0.5</v>
      </c>
      <c r="L31" s="27">
        <f t="shared" si="8"/>
        <v>180</v>
      </c>
      <c r="M31" s="27">
        <f t="shared" si="6"/>
        <v>180</v>
      </c>
      <c r="N31" s="50" t="s">
        <v>73</v>
      </c>
      <c r="O31" s="52">
        <v>46082</v>
      </c>
      <c r="P31" s="51" t="s">
        <v>206</v>
      </c>
      <c r="Q31" s="48"/>
      <c r="R31" s="48"/>
      <c r="S31" s="48"/>
      <c r="T31" s="48">
        <f>G31</f>
        <v>1200</v>
      </c>
      <c r="U31" s="48">
        <f>V31+150</f>
        <v>360</v>
      </c>
      <c r="V31" s="48">
        <v>210</v>
      </c>
      <c r="W31" s="48"/>
      <c r="X31" s="48"/>
      <c r="Y31" s="48"/>
      <c r="Z31" s="48"/>
      <c r="AA31" s="48"/>
      <c r="AB31" s="48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</row>
    <row r="32" spans="1:52" s="227" customFormat="1" hidden="1" x14ac:dyDescent="0.35">
      <c r="A32" s="255">
        <v>46055</v>
      </c>
      <c r="B32" s="218" t="s">
        <v>1</v>
      </c>
      <c r="C32" s="241" t="s">
        <v>94</v>
      </c>
      <c r="D32" s="219" t="s">
        <v>101</v>
      </c>
      <c r="E32" s="220" t="s">
        <v>219</v>
      </c>
      <c r="F32" s="242" t="s">
        <v>80</v>
      </c>
      <c r="G32" s="245">
        <v>27369.021276595748</v>
      </c>
      <c r="H32" s="256">
        <v>6.0000000000000067E-2</v>
      </c>
      <c r="I32" s="221">
        <f t="shared" si="9"/>
        <v>1642.1412765957466</v>
      </c>
      <c r="J32" s="223" t="s">
        <v>81</v>
      </c>
      <c r="K32" s="224">
        <v>0.5</v>
      </c>
      <c r="L32" s="221">
        <f t="shared" si="8"/>
        <v>821.0706382978733</v>
      </c>
      <c r="M32" s="221">
        <f t="shared" si="6"/>
        <v>821.0706382978733</v>
      </c>
      <c r="N32" s="225" t="s">
        <v>73</v>
      </c>
      <c r="O32" s="226">
        <v>46054</v>
      </c>
      <c r="P32" s="247" t="s">
        <v>220</v>
      </c>
      <c r="Q32" s="223"/>
      <c r="R32" s="223"/>
      <c r="S32" s="223"/>
      <c r="T32" s="223"/>
      <c r="U32" s="223"/>
      <c r="V32" s="223"/>
      <c r="W32" s="223">
        <f>G32</f>
        <v>27369.021276595748</v>
      </c>
      <c r="X32" s="223">
        <f>Y32+821</f>
        <v>2059.02</v>
      </c>
      <c r="Y32" s="223">
        <v>1238.02</v>
      </c>
      <c r="Z32" s="223"/>
      <c r="AA32" s="223"/>
      <c r="AB32" s="223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  <c r="AX32" s="219"/>
      <c r="AY32" s="219"/>
      <c r="AZ32" s="219"/>
    </row>
    <row r="33" spans="1:52" s="216" customFormat="1" hidden="1" x14ac:dyDescent="0.35">
      <c r="A33" s="236">
        <v>46065</v>
      </c>
      <c r="B33" s="208" t="s">
        <v>1</v>
      </c>
      <c r="C33" s="238" t="s">
        <v>132</v>
      </c>
      <c r="D33" s="209" t="s">
        <v>101</v>
      </c>
      <c r="E33" s="210" t="s">
        <v>307</v>
      </c>
      <c r="F33" s="9" t="s">
        <v>80</v>
      </c>
      <c r="G33" s="239">
        <v>118250.20826028708</v>
      </c>
      <c r="H33" s="240">
        <v>0.13327428756486839</v>
      </c>
      <c r="I33" s="211">
        <f t="shared" si="9"/>
        <v>15759.712260287077</v>
      </c>
      <c r="J33" s="56" t="s">
        <v>81</v>
      </c>
      <c r="K33" s="213">
        <v>0.5</v>
      </c>
      <c r="L33" s="211">
        <f t="shared" si="8"/>
        <v>7879.8561301435384</v>
      </c>
      <c r="M33" s="211">
        <f t="shared" si="6"/>
        <v>7879.8561301435384</v>
      </c>
      <c r="N33" s="214" t="s">
        <v>73</v>
      </c>
      <c r="O33" s="215">
        <v>46143</v>
      </c>
      <c r="P33" s="243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209"/>
      <c r="AD33" s="209"/>
      <c r="AE33" s="209"/>
      <c r="AF33" s="209">
        <f>G33</f>
        <v>118250.20826028708</v>
      </c>
      <c r="AG33" s="209">
        <f>I33</f>
        <v>15759.712260287077</v>
      </c>
      <c r="AH33" s="209">
        <f>M33</f>
        <v>7879.8561301435384</v>
      </c>
      <c r="AI33" s="209"/>
      <c r="AJ33" s="209"/>
      <c r="AK33" s="209"/>
      <c r="AL33" s="209"/>
      <c r="AM33" s="209"/>
      <c r="AN33" s="209"/>
      <c r="AO33" s="209"/>
      <c r="AP33" s="209"/>
      <c r="AQ33" s="209"/>
      <c r="AR33" s="209"/>
      <c r="AS33" s="209"/>
      <c r="AT33" s="209"/>
      <c r="AU33" s="209"/>
      <c r="AV33" s="209"/>
      <c r="AW33" s="209"/>
      <c r="AX33" s="209"/>
      <c r="AY33" s="209"/>
      <c r="AZ33" s="209"/>
    </row>
    <row r="34" spans="1:52" s="216" customFormat="1" x14ac:dyDescent="0.35">
      <c r="A34" s="207">
        <v>46072</v>
      </c>
      <c r="B34" s="208" t="s">
        <v>1</v>
      </c>
      <c r="C34" s="238" t="s">
        <v>132</v>
      </c>
      <c r="D34" s="209" t="s">
        <v>101</v>
      </c>
      <c r="E34" s="210" t="s">
        <v>298</v>
      </c>
      <c r="F34" s="9" t="s">
        <v>105</v>
      </c>
      <c r="G34" s="211">
        <v>93500</v>
      </c>
      <c r="H34" s="212">
        <v>0.1</v>
      </c>
      <c r="I34" s="211">
        <f t="shared" si="9"/>
        <v>9350</v>
      </c>
      <c r="J34" s="56" t="s">
        <v>81</v>
      </c>
      <c r="K34" s="213">
        <v>0.5</v>
      </c>
      <c r="L34" s="211">
        <f t="shared" si="8"/>
        <v>4675</v>
      </c>
      <c r="M34" s="211">
        <f t="shared" si="6"/>
        <v>4675</v>
      </c>
      <c r="N34" s="214" t="s">
        <v>73</v>
      </c>
      <c r="O34" s="215">
        <v>46113</v>
      </c>
      <c r="P34" s="243" t="s">
        <v>299</v>
      </c>
      <c r="Q34" s="56"/>
      <c r="R34" s="56"/>
      <c r="S34" s="56"/>
      <c r="T34" s="56"/>
      <c r="U34" s="56"/>
      <c r="V34" s="56"/>
      <c r="W34" s="56"/>
      <c r="X34" s="56"/>
      <c r="Y34" s="56"/>
      <c r="Z34" s="56">
        <f>G34</f>
        <v>93500</v>
      </c>
      <c r="AA34" s="56">
        <f>I34</f>
        <v>9350</v>
      </c>
      <c r="AB34" s="56">
        <f>M34</f>
        <v>4675</v>
      </c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09"/>
      <c r="AX34" s="209"/>
      <c r="AY34" s="209"/>
      <c r="AZ34" s="209"/>
    </row>
    <row r="35" spans="1:52" hidden="1" x14ac:dyDescent="0.35">
      <c r="A35" s="18">
        <v>46099</v>
      </c>
      <c r="B35" s="19" t="s">
        <v>1</v>
      </c>
      <c r="C35" s="23" t="s">
        <v>94</v>
      </c>
      <c r="D35" s="21" t="s">
        <v>153</v>
      </c>
      <c r="E35" s="22" t="s">
        <v>283</v>
      </c>
      <c r="F35" s="24" t="s">
        <v>80</v>
      </c>
      <c r="G35" s="48">
        <v>1938.36</v>
      </c>
      <c r="H35" s="26">
        <f>I35/G35</f>
        <v>0.10796756020553458</v>
      </c>
      <c r="I35" s="27">
        <v>209.28</v>
      </c>
      <c r="J35" s="48" t="s">
        <v>81</v>
      </c>
      <c r="K35" s="49">
        <v>0.5</v>
      </c>
      <c r="L35" s="27">
        <f t="shared" si="8"/>
        <v>104.64</v>
      </c>
      <c r="M35" s="27">
        <f t="shared" si="6"/>
        <v>104.64</v>
      </c>
      <c r="N35" s="50" t="s">
        <v>73</v>
      </c>
      <c r="O35" s="52">
        <v>46113</v>
      </c>
      <c r="P35" s="51" t="s">
        <v>301</v>
      </c>
      <c r="Q35" s="48"/>
      <c r="R35" s="48"/>
      <c r="S35" s="48"/>
      <c r="T35" s="48"/>
      <c r="U35" s="48"/>
      <c r="V35" s="48"/>
      <c r="W35" s="48">
        <f>G35</f>
        <v>1938.36</v>
      </c>
      <c r="X35" s="48">
        <f>Y35+210</f>
        <v>419.28</v>
      </c>
      <c r="Y35" s="48">
        <v>209.28</v>
      </c>
      <c r="Z35" s="48"/>
      <c r="AA35" s="48"/>
      <c r="AB35" s="48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</row>
    <row r="36" spans="1:52" hidden="1" x14ac:dyDescent="0.35">
      <c r="A36" s="46"/>
      <c r="B36" s="19"/>
      <c r="C36" s="23"/>
      <c r="D36" s="21"/>
      <c r="E36" s="22"/>
      <c r="F36" s="24"/>
      <c r="G36" s="27"/>
      <c r="H36" s="47"/>
      <c r="I36" s="27">
        <f t="shared" si="9"/>
        <v>0</v>
      </c>
      <c r="J36" s="48"/>
      <c r="K36" s="49"/>
      <c r="L36" s="27">
        <f t="shared" si="8"/>
        <v>0</v>
      </c>
      <c r="M36" s="27">
        <f t="shared" si="6"/>
        <v>0</v>
      </c>
      <c r="N36" s="50"/>
      <c r="O36" s="24"/>
      <c r="P36" s="51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</row>
    <row r="37" spans="1:52" hidden="1" x14ac:dyDescent="0.35">
      <c r="A37" s="46"/>
      <c r="B37" s="19"/>
      <c r="C37" s="23"/>
      <c r="D37" s="21"/>
      <c r="E37" s="22"/>
      <c r="F37" s="24"/>
      <c r="G37" s="27"/>
      <c r="H37" s="47"/>
      <c r="I37" s="27">
        <f t="shared" si="9"/>
        <v>0</v>
      </c>
      <c r="J37" s="48"/>
      <c r="K37" s="49"/>
      <c r="L37" s="27">
        <f t="shared" si="8"/>
        <v>0</v>
      </c>
      <c r="M37" s="27">
        <f t="shared" si="6"/>
        <v>0</v>
      </c>
      <c r="N37" s="50"/>
      <c r="O37" s="24"/>
      <c r="P37" s="51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</row>
    <row r="38" spans="1:52" hidden="1" x14ac:dyDescent="0.35">
      <c r="A38" s="46"/>
      <c r="B38" s="19"/>
      <c r="C38" s="23"/>
      <c r="D38" s="21"/>
      <c r="E38" s="22"/>
      <c r="F38" s="24"/>
      <c r="G38" s="27"/>
      <c r="H38" s="47"/>
      <c r="I38" s="27">
        <f t="shared" si="9"/>
        <v>0</v>
      </c>
      <c r="J38" s="48"/>
      <c r="K38" s="49"/>
      <c r="L38" s="27">
        <f t="shared" si="8"/>
        <v>0</v>
      </c>
      <c r="M38" s="27">
        <f t="shared" si="6"/>
        <v>0</v>
      </c>
      <c r="N38" s="50"/>
      <c r="O38" s="24"/>
      <c r="P38" s="51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</row>
    <row r="39" spans="1:52" hidden="1" x14ac:dyDescent="0.35">
      <c r="A39" s="46"/>
      <c r="B39" s="19"/>
      <c r="C39" s="23"/>
      <c r="D39" s="21"/>
      <c r="E39" s="22"/>
      <c r="F39" s="24"/>
      <c r="G39" s="27"/>
      <c r="H39" s="47"/>
      <c r="I39" s="27">
        <f t="shared" si="9"/>
        <v>0</v>
      </c>
      <c r="J39" s="48"/>
      <c r="K39" s="49"/>
      <c r="L39" s="27">
        <f t="shared" si="8"/>
        <v>0</v>
      </c>
      <c r="M39" s="27">
        <f t="shared" si="6"/>
        <v>0</v>
      </c>
      <c r="N39" s="50"/>
      <c r="O39" s="24"/>
      <c r="P39" s="51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</row>
    <row r="40" spans="1:52" hidden="1" x14ac:dyDescent="0.35">
      <c r="A40" s="46"/>
      <c r="B40" s="19"/>
      <c r="C40" s="23"/>
      <c r="D40" s="21"/>
      <c r="E40" s="22"/>
      <c r="F40" s="24"/>
      <c r="G40" s="27"/>
      <c r="H40" s="47"/>
      <c r="I40" s="27">
        <f t="shared" si="9"/>
        <v>0</v>
      </c>
      <c r="J40" s="48"/>
      <c r="K40" s="49"/>
      <c r="L40" s="27">
        <f t="shared" si="8"/>
        <v>0</v>
      </c>
      <c r="M40" s="27">
        <f t="shared" si="6"/>
        <v>0</v>
      </c>
      <c r="N40" s="50"/>
      <c r="O40" s="24"/>
      <c r="P40" s="51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</row>
    <row r="41" spans="1:52" hidden="1" x14ac:dyDescent="0.35">
      <c r="A41" s="46"/>
      <c r="B41" s="19"/>
      <c r="C41" s="23"/>
      <c r="D41" s="21"/>
      <c r="E41" s="22"/>
      <c r="F41" s="24"/>
      <c r="G41" s="27"/>
      <c r="H41" s="47"/>
      <c r="I41" s="27">
        <f t="shared" si="9"/>
        <v>0</v>
      </c>
      <c r="J41" s="48"/>
      <c r="K41" s="49"/>
      <c r="L41" s="27">
        <f t="shared" si="8"/>
        <v>0</v>
      </c>
      <c r="M41" s="27">
        <f t="shared" si="6"/>
        <v>0</v>
      </c>
      <c r="N41" s="50"/>
      <c r="O41" s="24"/>
      <c r="P41" s="51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</row>
    <row r="42" spans="1:52" hidden="1" x14ac:dyDescent="0.35">
      <c r="A42" s="46"/>
      <c r="B42" s="19"/>
      <c r="C42" s="23"/>
      <c r="D42" s="21"/>
      <c r="E42" s="22"/>
      <c r="F42" s="24"/>
      <c r="G42" s="27"/>
      <c r="H42" s="47"/>
      <c r="I42" s="27">
        <f t="shared" si="9"/>
        <v>0</v>
      </c>
      <c r="J42" s="48"/>
      <c r="K42" s="49"/>
      <c r="L42" s="27">
        <f t="shared" si="8"/>
        <v>0</v>
      </c>
      <c r="M42" s="27">
        <f t="shared" si="6"/>
        <v>0</v>
      </c>
      <c r="N42" s="50"/>
      <c r="O42" s="24"/>
      <c r="P42" s="51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</row>
    <row r="43" spans="1:52" hidden="1" x14ac:dyDescent="0.35">
      <c r="A43" s="46"/>
      <c r="B43" s="19"/>
      <c r="C43" s="23"/>
      <c r="D43" s="21"/>
      <c r="E43" s="22"/>
      <c r="F43" s="24"/>
      <c r="G43" s="27"/>
      <c r="H43" s="47"/>
      <c r="I43" s="27">
        <f t="shared" si="9"/>
        <v>0</v>
      </c>
      <c r="J43" s="48"/>
      <c r="K43" s="49"/>
      <c r="L43" s="27">
        <f t="shared" si="8"/>
        <v>0</v>
      </c>
      <c r="M43" s="27">
        <f t="shared" si="6"/>
        <v>0</v>
      </c>
      <c r="N43" s="50"/>
      <c r="O43" s="24"/>
      <c r="P43" s="51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</row>
    <row r="44" spans="1:52" hidden="1" x14ac:dyDescent="0.35">
      <c r="A44" s="46"/>
      <c r="B44" s="19"/>
      <c r="C44" s="23"/>
      <c r="D44" s="21"/>
      <c r="E44" s="22"/>
      <c r="F44" s="24"/>
      <c r="G44" s="27"/>
      <c r="H44" s="47"/>
      <c r="I44" s="27">
        <f t="shared" si="9"/>
        <v>0</v>
      </c>
      <c r="J44" s="48"/>
      <c r="K44" s="49"/>
      <c r="L44" s="27">
        <f t="shared" si="8"/>
        <v>0</v>
      </c>
      <c r="M44" s="27">
        <f t="shared" si="6"/>
        <v>0</v>
      </c>
      <c r="N44" s="50"/>
      <c r="O44" s="24"/>
      <c r="P44" s="51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</row>
    <row r="45" spans="1:52" hidden="1" x14ac:dyDescent="0.35">
      <c r="A45" s="46"/>
      <c r="B45" s="19"/>
      <c r="C45" s="23"/>
      <c r="D45" s="21"/>
      <c r="E45" s="22"/>
      <c r="F45" s="24"/>
      <c r="G45" s="27"/>
      <c r="H45" s="47"/>
      <c r="I45" s="27">
        <f t="shared" si="9"/>
        <v>0</v>
      </c>
      <c r="J45" s="48"/>
      <c r="K45" s="49"/>
      <c r="L45" s="27">
        <f t="shared" si="8"/>
        <v>0</v>
      </c>
      <c r="M45" s="27">
        <f t="shared" si="6"/>
        <v>0</v>
      </c>
      <c r="N45" s="50"/>
      <c r="O45" s="24"/>
      <c r="P45" s="51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</row>
    <row r="46" spans="1:52" hidden="1" x14ac:dyDescent="0.35">
      <c r="A46" s="46"/>
      <c r="B46" s="19"/>
      <c r="C46" s="23"/>
      <c r="D46" s="21"/>
      <c r="E46" s="22"/>
      <c r="F46" s="24"/>
      <c r="G46" s="27"/>
      <c r="H46" s="47"/>
      <c r="I46" s="27">
        <f t="shared" si="9"/>
        <v>0</v>
      </c>
      <c r="J46" s="48"/>
      <c r="K46" s="49"/>
      <c r="L46" s="27">
        <f t="shared" si="8"/>
        <v>0</v>
      </c>
      <c r="M46" s="27">
        <f t="shared" si="6"/>
        <v>0</v>
      </c>
      <c r="N46" s="50"/>
      <c r="O46" s="24"/>
      <c r="P46" s="51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</row>
    <row r="47" spans="1:52" hidden="1" x14ac:dyDescent="0.35">
      <c r="A47" s="46"/>
      <c r="B47" s="19"/>
      <c r="C47" s="23"/>
      <c r="D47" s="21"/>
      <c r="E47" s="22"/>
      <c r="F47" s="24"/>
      <c r="G47" s="27"/>
      <c r="H47" s="47"/>
      <c r="I47" s="27">
        <f t="shared" si="9"/>
        <v>0</v>
      </c>
      <c r="J47" s="48"/>
      <c r="K47" s="49"/>
      <c r="L47" s="27">
        <f t="shared" si="8"/>
        <v>0</v>
      </c>
      <c r="M47" s="27">
        <f t="shared" si="6"/>
        <v>0</v>
      </c>
      <c r="N47" s="50"/>
      <c r="O47" s="24"/>
      <c r="P47" s="51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</row>
    <row r="48" spans="1:52" hidden="1" x14ac:dyDescent="0.35">
      <c r="A48" s="46"/>
      <c r="B48" s="19"/>
      <c r="C48" s="23"/>
      <c r="D48" s="21"/>
      <c r="E48" s="22"/>
      <c r="F48" s="24"/>
      <c r="G48" s="27"/>
      <c r="H48" s="47"/>
      <c r="I48" s="27">
        <f t="shared" si="9"/>
        <v>0</v>
      </c>
      <c r="J48" s="48"/>
      <c r="K48" s="49"/>
      <c r="L48" s="27">
        <f t="shared" si="8"/>
        <v>0</v>
      </c>
      <c r="M48" s="27">
        <f t="shared" si="6"/>
        <v>0</v>
      </c>
      <c r="N48" s="50"/>
      <c r="O48" s="24"/>
      <c r="P48" s="51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</row>
    <row r="49" spans="1:52" hidden="1" x14ac:dyDescent="0.35">
      <c r="A49" s="46"/>
      <c r="B49" s="19"/>
      <c r="C49" s="23"/>
      <c r="D49" s="21"/>
      <c r="E49" s="22"/>
      <c r="F49" s="24"/>
      <c r="G49" s="27"/>
      <c r="H49" s="47"/>
      <c r="I49" s="27">
        <f t="shared" si="9"/>
        <v>0</v>
      </c>
      <c r="J49" s="48"/>
      <c r="K49" s="49"/>
      <c r="L49" s="27">
        <f t="shared" si="8"/>
        <v>0</v>
      </c>
      <c r="M49" s="27">
        <f t="shared" si="6"/>
        <v>0</v>
      </c>
      <c r="N49" s="50"/>
      <c r="O49" s="24"/>
      <c r="P49" s="51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</row>
    <row r="50" spans="1:52" hidden="1" x14ac:dyDescent="0.35">
      <c r="A50" s="46"/>
      <c r="B50" s="19"/>
      <c r="C50" s="23"/>
      <c r="D50" s="21"/>
      <c r="E50" s="22"/>
      <c r="F50" s="24"/>
      <c r="G50" s="27"/>
      <c r="H50" s="47"/>
      <c r="I50" s="27">
        <f t="shared" si="9"/>
        <v>0</v>
      </c>
      <c r="J50" s="48"/>
      <c r="K50" s="49"/>
      <c r="L50" s="27">
        <f t="shared" si="8"/>
        <v>0</v>
      </c>
      <c r="M50" s="27">
        <f t="shared" si="6"/>
        <v>0</v>
      </c>
      <c r="N50" s="50"/>
      <c r="O50" s="24"/>
      <c r="P50" s="51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</row>
    <row r="51" spans="1:52" hidden="1" x14ac:dyDescent="0.35">
      <c r="A51" s="35"/>
      <c r="B51" s="36"/>
      <c r="C51" s="53"/>
      <c r="D51" s="37"/>
      <c r="E51" s="38"/>
      <c r="F51" s="44"/>
      <c r="G51" s="39"/>
      <c r="H51" s="40"/>
      <c r="I51" s="39">
        <f t="shared" si="9"/>
        <v>0</v>
      </c>
      <c r="J51" s="41"/>
      <c r="K51" s="42"/>
      <c r="L51" s="39">
        <f t="shared" si="8"/>
        <v>0</v>
      </c>
      <c r="M51" s="39">
        <f t="shared" si="6"/>
        <v>0</v>
      </c>
      <c r="N51" s="43"/>
      <c r="O51" s="24"/>
      <c r="P51" s="54"/>
      <c r="Q51" s="55"/>
      <c r="R51" s="55"/>
      <c r="S51" s="55"/>
      <c r="T51" s="55"/>
      <c r="U51" s="55"/>
      <c r="V51" s="55"/>
      <c r="W51" s="55"/>
      <c r="X51" s="55"/>
      <c r="Y51" s="55"/>
      <c r="Z51" s="41"/>
      <c r="AA51" s="41"/>
      <c r="AB51" s="41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 hidden="1" x14ac:dyDescent="0.35">
      <c r="A52" s="46"/>
      <c r="B52" s="19"/>
      <c r="C52" s="23"/>
      <c r="D52" s="21"/>
      <c r="E52" s="22"/>
      <c r="F52" s="24"/>
      <c r="G52" s="27"/>
      <c r="H52" s="47"/>
      <c r="I52" s="27">
        <f t="shared" si="9"/>
        <v>0</v>
      </c>
      <c r="J52" s="48"/>
      <c r="K52" s="49"/>
      <c r="L52" s="27">
        <f t="shared" si="8"/>
        <v>0</v>
      </c>
      <c r="M52" s="27">
        <f t="shared" si="6"/>
        <v>0</v>
      </c>
      <c r="N52" s="50"/>
      <c r="O52" s="24"/>
      <c r="P52" s="51"/>
      <c r="Q52" s="56"/>
      <c r="R52" s="56"/>
      <c r="S52" s="56"/>
      <c r="T52" s="56"/>
      <c r="U52" s="56"/>
      <c r="V52" s="56"/>
      <c r="W52" s="56"/>
      <c r="X52" s="56"/>
      <c r="Y52" s="56"/>
      <c r="Z52" s="48"/>
      <c r="AA52" s="48"/>
      <c r="AB52" s="48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</row>
    <row r="53" spans="1:52" hidden="1" x14ac:dyDescent="0.35">
      <c r="A53" s="46"/>
      <c r="B53" s="19"/>
      <c r="C53" s="23"/>
      <c r="D53" s="21"/>
      <c r="E53" s="22"/>
      <c r="F53" s="24"/>
      <c r="G53" s="27"/>
      <c r="H53" s="47"/>
      <c r="I53" s="27">
        <f t="shared" si="9"/>
        <v>0</v>
      </c>
      <c r="J53" s="48"/>
      <c r="K53" s="49"/>
      <c r="L53" s="27">
        <f t="shared" si="8"/>
        <v>0</v>
      </c>
      <c r="M53" s="27">
        <f t="shared" si="6"/>
        <v>0</v>
      </c>
      <c r="N53" s="50"/>
      <c r="O53" s="24"/>
      <c r="P53" s="51"/>
      <c r="Q53" s="56"/>
      <c r="R53" s="56"/>
      <c r="S53" s="56"/>
      <c r="T53" s="56"/>
      <c r="U53" s="56"/>
      <c r="V53" s="56"/>
      <c r="W53" s="56"/>
      <c r="X53" s="56"/>
      <c r="Y53" s="56"/>
      <c r="Z53" s="48"/>
      <c r="AA53" s="48"/>
      <c r="AB53" s="48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</row>
  </sheetData>
  <autoFilter ref="A1:AZ53" xr:uid="{B00B9C9F-D174-41B4-A074-1A99AC213FF3}"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>
      <customFilters>
        <customFilter operator="notEqual" val=" "/>
      </customFilters>
    </filterColumn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  <filterColumn colId="43" showButton="0"/>
    <filterColumn colId="44" showButton="0"/>
    <filterColumn colId="46" showButton="0"/>
    <filterColumn colId="47" showButton="0"/>
    <filterColumn colId="49" showButton="0"/>
    <filterColumn colId="50" showButton="0"/>
  </autoFilter>
  <sortState xmlns:xlrd2="http://schemas.microsoft.com/office/spreadsheetml/2017/richdata2" ref="A8:AZ19">
    <sortCondition ref="D8:D19"/>
  </sortState>
  <mergeCells count="28">
    <mergeCell ref="H1:H2"/>
    <mergeCell ref="I1:I2"/>
    <mergeCell ref="M1:M2"/>
    <mergeCell ref="N1:N2"/>
    <mergeCell ref="J1:J2"/>
    <mergeCell ref="K1:K2"/>
    <mergeCell ref="L1:L2"/>
    <mergeCell ref="AX1:AZ1"/>
    <mergeCell ref="AO1:AQ1"/>
    <mergeCell ref="AR1:AT1"/>
    <mergeCell ref="A1:A2"/>
    <mergeCell ref="B1:B2"/>
    <mergeCell ref="C1:C2"/>
    <mergeCell ref="D1:D2"/>
    <mergeCell ref="E1:E2"/>
    <mergeCell ref="F1:F2"/>
    <mergeCell ref="AC1:AE1"/>
    <mergeCell ref="AF1:AH1"/>
    <mergeCell ref="AI1:AK1"/>
    <mergeCell ref="AL1:AN1"/>
    <mergeCell ref="Q1:S1"/>
    <mergeCell ref="P1:P2"/>
    <mergeCell ref="G1:G2"/>
    <mergeCell ref="O1:O2"/>
    <mergeCell ref="Z1:AB1"/>
    <mergeCell ref="T1:V1"/>
    <mergeCell ref="W1:Y1"/>
    <mergeCell ref="AU1:AW1"/>
  </mergeCells>
  <conditionalFormatting sqref="D3:D6 F3:G6 P3:XFD6 Q4:S9 Q7:XFD27 P10:S22 D11:D17 F11:G17 D19:D23 F19:G23 P21:XFD21 W21:Y35 D26:D28 F26:G28 P28:XFD59 D30 F30:G30 P60:V60 X60:XFD60 P61:XFD795">
    <cfRule type="cellIs" dxfId="36" priority="7" operator="equal">
      <formula>80</formula>
    </cfRule>
  </conditionalFormatting>
  <conditionalFormatting sqref="D15:E16">
    <cfRule type="cellIs" dxfId="35" priority="14" operator="equal">
      <formula>80</formula>
    </cfRule>
  </conditionalFormatting>
  <conditionalFormatting sqref="D18:H18">
    <cfRule type="cellIs" dxfId="34" priority="11" operator="equal">
      <formula>80</formula>
    </cfRule>
  </conditionalFormatting>
  <conditionalFormatting sqref="F35:G35">
    <cfRule type="cellIs" dxfId="33" priority="3" operator="equal">
      <formula>80</formula>
    </cfRule>
  </conditionalFormatting>
  <conditionalFormatting sqref="G15:H16">
    <cfRule type="cellIs" dxfId="32" priority="13" operator="equal">
      <formula>80</formula>
    </cfRule>
  </conditionalFormatting>
  <conditionalFormatting sqref="N54:N795">
    <cfRule type="cellIs" dxfId="31" priority="239" operator="equal">
      <formula>"Billed"</formula>
    </cfRule>
    <cfRule type="cellIs" dxfId="30" priority="240" operator="equal">
      <formula>"Billed"</formula>
    </cfRule>
    <cfRule type="cellIs" dxfId="29" priority="241" operator="equal">
      <formula>50</formula>
    </cfRule>
    <cfRule type="cellIs" dxfId="28" priority="242" operator="equal">
      <formula>50</formula>
    </cfRule>
    <cfRule type="cellIs" dxfId="27" priority="243" operator="equal">
      <formula>80</formula>
    </cfRule>
  </conditionalFormatting>
  <conditionalFormatting sqref="N797:N1048576">
    <cfRule type="cellIs" dxfId="26" priority="246" operator="equal">
      <formula>"Billed"</formula>
    </cfRule>
    <cfRule type="cellIs" dxfId="25" priority="247" operator="equal">
      <formula>"Billed"</formula>
    </cfRule>
    <cfRule type="cellIs" dxfId="24" priority="248" operator="equal">
      <formula>50</formula>
    </cfRule>
    <cfRule type="cellIs" dxfId="23" priority="249" operator="equal">
      <formula>50</formula>
    </cfRule>
    <cfRule type="cellIs" dxfId="22" priority="250" operator="equal">
      <formula>80</formula>
    </cfRule>
  </conditionalFormatting>
  <conditionalFormatting sqref="P7:P9 Q23:S25 P26:S27 F29 F31:F33">
    <cfRule type="cellIs" dxfId="21" priority="24" operator="equal">
      <formula>80</formula>
    </cfRule>
  </conditionalFormatting>
  <conditionalFormatting sqref="P25 C797:F4703">
    <cfRule type="cellIs" dxfId="20" priority="155" operator="equal">
      <formula>80</formula>
    </cfRule>
  </conditionalFormatting>
  <conditionalFormatting sqref="P15:XFD16 N798">
    <cfRule type="cellIs" dxfId="19" priority="213" operator="equal">
      <formula>80</formula>
    </cfRule>
  </conditionalFormatting>
  <conditionalFormatting sqref="Q1:R1 T1:U1 W1:X1 P23">
    <cfRule type="cellIs" dxfId="18" priority="75" operator="equal">
      <formula>80</formula>
    </cfRule>
  </conditionalFormatting>
  <conditionalFormatting sqref="Q1:R1 T1:U1 W1:X1 Q3:AT6 Q7:AB59 Q60:V60 X60:AB60 Q61:AB795">
    <cfRule type="cellIs" dxfId="17" priority="76" operator="lessThan">
      <formula>0</formula>
    </cfRule>
  </conditionalFormatting>
  <conditionalFormatting sqref="Q797:AB1048576">
    <cfRule type="cellIs" dxfId="16" priority="102" operator="lessThan">
      <formula>0</formula>
    </cfRule>
  </conditionalFormatting>
  <conditionalFormatting sqref="Z1:AA1 AC1:AD1 AF1:AG1 AI1:AJ1 AL1:AM1 AO1:AP1 AR1:AS1 AU1:AV1 AX1:AY1 Z2:AZ6">
    <cfRule type="cellIs" dxfId="15" priority="74" operator="equal">
      <formula>80</formula>
    </cfRule>
    <cfRule type="cellIs" dxfId="14" priority="79" operator="lessThan">
      <formula>0</formula>
    </cfRule>
  </conditionalFormatting>
  <conditionalFormatting sqref="AC6:AT6">
    <cfRule type="cellIs" dxfId="13" priority="38" operator="lessThan">
      <formula>0</formula>
    </cfRule>
  </conditionalFormatting>
  <conditionalFormatting sqref="AF12:AH12">
    <cfRule type="cellIs" dxfId="12" priority="2" operator="lessThan">
      <formula>0</formula>
    </cfRule>
  </conditionalFormatting>
  <conditionalFormatting sqref="AF15:AH16">
    <cfRule type="cellIs" dxfId="11" priority="1" operator="lessThan">
      <formula>0</formula>
    </cfRule>
  </conditionalFormatting>
  <conditionalFormatting sqref="AX6:AZ6">
    <cfRule type="cellIs" dxfId="10" priority="58" operator="lessThan">
      <formula>0</formula>
    </cfRule>
  </conditionalFormatting>
  <conditionalFormatting sqref="AY7">
    <cfRule type="cellIs" dxfId="9" priority="21" operator="equal">
      <formula>80</formula>
    </cfRule>
  </conditionalFormatting>
  <conditionalFormatting sqref="BA1:XFD2 D6:H6 F7 D8:D9 F8:G9 E9 G9:H9 D10:H10 E24 F24:F25 D34:H34 D36:H53 C54:N795 G797:N797 P797:XFD1048576 G798:H798 G799:N4703 C4704:N1048576">
    <cfRule type="cellIs" dxfId="8" priority="45" operator="equal">
      <formula>80</formula>
    </cfRule>
  </conditionalFormatting>
  <dataValidations count="10">
    <dataValidation type="list" allowBlank="1" showInputMessage="1" showErrorMessage="1" sqref="F4704:F1048576" xr:uid="{3E9C88A5-670E-41D7-B65D-9A36592EBCC2}">
      <formula1>"Network, Telecom, ELV, Microsoft, Cloud, BizApp, Data, IOT, Cybersecurity, Managed Services, Other Application, Micro, Outsourcing "</formula1>
    </dataValidation>
    <dataValidation type="list" allowBlank="1" showInputMessage="1" showErrorMessage="1" sqref="F797:F4703 F31:F795 F3:F19 F21:F29" xr:uid="{73C62268-524C-4450-91F6-D241063C6F9E}">
      <formula1>"Network, Telecom, ELV, Microsoft, Cloud, BizApp, Data, IOT, Cybersecurity, Managed Services, Other Application, Micro, Outsourcing, Micro, Hardware, Licenses, AMC Alpha with B2B, AMC Alpha, AMC B2B"</formula1>
    </dataValidation>
    <dataValidation type="list" allowBlank="1" showInputMessage="1" showErrorMessage="1" sqref="C797:C1048576 C30:C795 F30 F20:F23 C3:C17 C19:C28" xr:uid="{A88F4FBB-5684-49C5-A16E-23AAE2599A42}">
      <formula1>"Micro, NW, ELV, Out, MSDT"</formula1>
    </dataValidation>
    <dataValidation type="list" allowBlank="1" showInputMessage="1" showErrorMessage="1" sqref="N54:N795" xr:uid="{C61E8E32-0F0E-4620-8D67-CA10370EB2E9}">
      <formula1>"Billed, Booked, Lost, Hold, 40%, 50%, 80%"</formula1>
    </dataValidation>
    <dataValidation type="list" allowBlank="1" showInputMessage="1" showErrorMessage="1" sqref="O3" xr:uid="{087933DE-3EF2-43E8-AAD2-CA48134CEF6B}">
      <formula1>"January, February, March, April, May, June, July, August, September, October, November, December"</formula1>
    </dataValidation>
    <dataValidation type="list" allowBlank="1" showInputMessage="1" showErrorMessage="1" sqref="O797:O1048576 O54:O795" xr:uid="{202A24BC-CB3C-4FD1-A450-2FDD7400D894}">
      <formula1>"January, February, March, April, May, June, July, August, September, October, November, December, Jan-25, Feb-25, Mar-25, Apr-25, May-25, Jun-25, Jul-25, Aug-25, Sep-25, Oct-25, Nov-25, Dec-25"</formula1>
    </dataValidation>
    <dataValidation type="list" allowBlank="1" showInputMessage="1" showErrorMessage="1" sqref="K3:K53" xr:uid="{DE17348D-4185-4CB4-B215-62978EF80E13}">
      <formula1>"20%, 50%, 70%, 80%"</formula1>
    </dataValidation>
    <dataValidation type="list" allowBlank="1" showInputMessage="1" showErrorMessage="1" sqref="J3:J53" xr:uid="{B884AFAC-3785-415F-9062-02CF90C8D4A8}">
      <formula1>"Yes, No"</formula1>
    </dataValidation>
    <dataValidation type="list" allowBlank="1" showInputMessage="1" showErrorMessage="1" sqref="N3:N53" xr:uid="{5C5003C6-D431-4BC7-8141-6E4C5D900163}">
      <formula1>"Booked in VIkas"</formula1>
    </dataValidation>
    <dataValidation type="list" allowBlank="1" showInputMessage="1" showErrorMessage="1" sqref="O3:O53" xr:uid="{705DBDB7-B1D1-461C-8CC6-91457AF38060}">
      <formula1>"2024, 2025, Jan 2026, Feb 2026, Mar 2026, Apr 2026, May 2026, Jun 2026, Jul 2026, Aug 2026, Sep 2026, Oct 2026, Nov 2026, Dec 2026"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EBFD-9F76-41B2-9C94-BBC66E482BE9}">
  <dimension ref="A1:O50"/>
  <sheetViews>
    <sheetView topLeftCell="E1" zoomScaleNormal="100" workbookViewId="0">
      <selection activeCell="L17" sqref="L17"/>
    </sheetView>
  </sheetViews>
  <sheetFormatPr defaultColWidth="12.54296875" defaultRowHeight="14.5" x14ac:dyDescent="0.35"/>
  <cols>
    <col min="1" max="1" width="16.90625" style="263" bestFit="1" customWidth="1"/>
    <col min="2" max="2" width="19.81640625" style="263" bestFit="1" customWidth="1"/>
    <col min="3" max="3" width="16.453125" style="263" bestFit="1" customWidth="1"/>
    <col min="4" max="4" width="39.81640625" style="257" bestFit="1" customWidth="1"/>
    <col min="5" max="5" width="49.81640625" style="257" bestFit="1" customWidth="1"/>
    <col min="6" max="6" width="12.1796875" style="257" bestFit="1" customWidth="1"/>
    <col min="7" max="7" width="15.90625" style="257" bestFit="1" customWidth="1"/>
    <col min="8" max="8" width="19.08984375" style="264" bestFit="1" customWidth="1"/>
    <col min="9" max="9" width="9.26953125" style="265" bestFit="1" customWidth="1"/>
    <col min="10" max="10" width="14.453125" style="264" bestFit="1" customWidth="1"/>
    <col min="11" max="11" width="14.08984375" style="264" bestFit="1" customWidth="1"/>
    <col min="12" max="12" width="15.6328125" style="266" bestFit="1" customWidth="1"/>
    <col min="13" max="13" width="9.1796875" style="257" bestFit="1" customWidth="1"/>
    <col min="14" max="14" width="14.81640625" style="257" bestFit="1" customWidth="1"/>
    <col min="15" max="15" width="9.1796875" style="257" bestFit="1" customWidth="1"/>
    <col min="16" max="19" width="12.54296875" style="257"/>
    <col min="20" max="20" width="10.1796875" style="257" bestFit="1" customWidth="1"/>
    <col min="21" max="21" width="12.54296875" style="257"/>
    <col min="22" max="22" width="9.1796875" style="257" bestFit="1" customWidth="1"/>
    <col min="23" max="16384" width="12.54296875" style="257"/>
  </cols>
  <sheetData>
    <row r="1" spans="1:15" s="17" customFormat="1" x14ac:dyDescent="0.35">
      <c r="A1" s="13" t="s">
        <v>124</v>
      </c>
      <c r="B1" s="13" t="s">
        <v>40</v>
      </c>
      <c r="C1" s="13" t="s">
        <v>125</v>
      </c>
      <c r="D1" s="13" t="s">
        <v>42</v>
      </c>
      <c r="E1" s="13" t="s">
        <v>43</v>
      </c>
      <c r="F1" s="13" t="s">
        <v>126</v>
      </c>
      <c r="G1" s="13" t="s">
        <v>44</v>
      </c>
      <c r="H1" s="14" t="s">
        <v>127</v>
      </c>
      <c r="I1" s="15" t="s">
        <v>46</v>
      </c>
      <c r="J1" s="14" t="s">
        <v>128</v>
      </c>
      <c r="K1" s="14" t="s">
        <v>17</v>
      </c>
      <c r="L1" s="16" t="s">
        <v>50</v>
      </c>
    </row>
    <row r="2" spans="1:15" x14ac:dyDescent="0.35">
      <c r="A2" s="258">
        <v>45972</v>
      </c>
      <c r="B2" s="271" t="s">
        <v>1</v>
      </c>
      <c r="C2" s="259" t="s">
        <v>134</v>
      </c>
      <c r="D2" s="272" t="s">
        <v>107</v>
      </c>
      <c r="E2" s="273" t="s">
        <v>135</v>
      </c>
      <c r="F2" s="274" t="s">
        <v>68</v>
      </c>
      <c r="G2" s="275" t="s">
        <v>136</v>
      </c>
      <c r="H2" s="260">
        <v>85650</v>
      </c>
      <c r="I2" s="261">
        <v>0.3</v>
      </c>
      <c r="J2" s="260">
        <f>H2*I2</f>
        <v>25695</v>
      </c>
      <c r="K2" s="260">
        <f>J2*20%</f>
        <v>5139</v>
      </c>
      <c r="L2" s="276" t="s">
        <v>210</v>
      </c>
    </row>
    <row r="3" spans="1:15" s="287" customFormat="1" x14ac:dyDescent="0.35">
      <c r="A3" s="277">
        <v>46001</v>
      </c>
      <c r="B3" s="278" t="s">
        <v>1</v>
      </c>
      <c r="C3" s="279" t="s">
        <v>139</v>
      </c>
      <c r="D3" s="280" t="s">
        <v>90</v>
      </c>
      <c r="E3" s="281" t="s">
        <v>140</v>
      </c>
      <c r="F3" s="282" t="s">
        <v>68</v>
      </c>
      <c r="G3" s="283" t="s">
        <v>71</v>
      </c>
      <c r="H3" s="284">
        <v>49999.8992</v>
      </c>
      <c r="I3" s="285">
        <v>0.22070514254156737</v>
      </c>
      <c r="J3" s="284">
        <f>H3*I3</f>
        <v>11035.23488</v>
      </c>
      <c r="K3" s="284">
        <f t="shared" ref="K3:K10" si="0">J3*50%</f>
        <v>5517.61744</v>
      </c>
      <c r="L3" s="286" t="s">
        <v>35</v>
      </c>
    </row>
    <row r="4" spans="1:15" s="17" customFormat="1" x14ac:dyDescent="0.35">
      <c r="A4" s="267">
        <v>46006</v>
      </c>
      <c r="B4" s="290" t="s">
        <v>1</v>
      </c>
      <c r="C4" s="268" t="s">
        <v>141</v>
      </c>
      <c r="D4" s="291" t="s">
        <v>208</v>
      </c>
      <c r="E4" s="292" t="s">
        <v>142</v>
      </c>
      <c r="F4" s="293" t="s">
        <v>132</v>
      </c>
      <c r="G4" s="117" t="s">
        <v>143</v>
      </c>
      <c r="H4" s="269">
        <v>80236.165647058791</v>
      </c>
      <c r="I4" s="270">
        <v>0.15</v>
      </c>
      <c r="J4" s="269">
        <f>H4*I4</f>
        <v>12035.424847058819</v>
      </c>
      <c r="K4" s="269">
        <f t="shared" si="0"/>
        <v>6017.7124235294095</v>
      </c>
      <c r="L4" s="294">
        <v>0.5</v>
      </c>
    </row>
    <row r="5" spans="1:15" s="17" customFormat="1" x14ac:dyDescent="0.35">
      <c r="A5" s="267">
        <v>46006</v>
      </c>
      <c r="B5" s="290" t="s">
        <v>1</v>
      </c>
      <c r="C5" s="268" t="s">
        <v>141</v>
      </c>
      <c r="D5" s="291" t="s">
        <v>209</v>
      </c>
      <c r="E5" s="292" t="s">
        <v>142</v>
      </c>
      <c r="F5" s="293" t="s">
        <v>132</v>
      </c>
      <c r="G5" s="117" t="s">
        <v>143</v>
      </c>
      <c r="H5" s="269">
        <v>122638.33788235282</v>
      </c>
      <c r="I5" s="270">
        <v>0.15</v>
      </c>
      <c r="J5" s="269">
        <f t="shared" ref="J5" si="1">H5*I5</f>
        <v>18395.750682352922</v>
      </c>
      <c r="K5" s="269">
        <f t="shared" ref="K5" si="2">J5*50%</f>
        <v>9197.875341176461</v>
      </c>
      <c r="L5" s="294">
        <v>0.5</v>
      </c>
    </row>
    <row r="6" spans="1:15" s="287" customFormat="1" x14ac:dyDescent="0.35">
      <c r="A6" s="277">
        <v>46007</v>
      </c>
      <c r="B6" s="279" t="s">
        <v>1</v>
      </c>
      <c r="C6" s="279" t="s">
        <v>113</v>
      </c>
      <c r="D6" s="280" t="s">
        <v>90</v>
      </c>
      <c r="E6" s="281" t="s">
        <v>144</v>
      </c>
      <c r="F6" s="282" t="s">
        <v>68</v>
      </c>
      <c r="G6" s="283" t="s">
        <v>145</v>
      </c>
      <c r="H6" s="284">
        <v>212516</v>
      </c>
      <c r="I6" s="288">
        <v>0.2</v>
      </c>
      <c r="J6" s="284">
        <f t="shared" ref="J6:J11" si="3">H6*I6</f>
        <v>42503.200000000004</v>
      </c>
      <c r="K6" s="284">
        <f t="shared" si="0"/>
        <v>21251.600000000002</v>
      </c>
      <c r="L6" s="289" t="s">
        <v>210</v>
      </c>
    </row>
    <row r="7" spans="1:15" x14ac:dyDescent="0.35">
      <c r="A7" s="258">
        <v>46023</v>
      </c>
      <c r="B7" s="271" t="s">
        <v>1</v>
      </c>
      <c r="C7" s="259" t="s">
        <v>147</v>
      </c>
      <c r="D7" s="272" t="s">
        <v>148</v>
      </c>
      <c r="E7" s="273" t="s">
        <v>149</v>
      </c>
      <c r="F7" s="274" t="s">
        <v>132</v>
      </c>
      <c r="G7" s="275" t="s">
        <v>143</v>
      </c>
      <c r="H7" s="260">
        <v>261940.15</v>
      </c>
      <c r="I7" s="261">
        <v>0.2</v>
      </c>
      <c r="J7" s="260">
        <f t="shared" si="3"/>
        <v>52388.03</v>
      </c>
      <c r="K7" s="260">
        <f t="shared" si="0"/>
        <v>26194.014999999999</v>
      </c>
      <c r="L7" s="276" t="s">
        <v>35</v>
      </c>
    </row>
    <row r="8" spans="1:15" s="17" customFormat="1" x14ac:dyDescent="0.35">
      <c r="A8" s="267">
        <v>46023</v>
      </c>
      <c r="B8" s="290" t="s">
        <v>1</v>
      </c>
      <c r="C8" s="268" t="s">
        <v>137</v>
      </c>
      <c r="D8" s="291" t="s">
        <v>90</v>
      </c>
      <c r="E8" s="292" t="s">
        <v>146</v>
      </c>
      <c r="F8" s="293" t="s">
        <v>68</v>
      </c>
      <c r="G8" s="117" t="s">
        <v>71</v>
      </c>
      <c r="H8" s="126">
        <f>(12000*0.95)*3.6725</f>
        <v>41866.5</v>
      </c>
      <c r="I8" s="270">
        <v>1</v>
      </c>
      <c r="J8" s="269">
        <f t="shared" si="3"/>
        <v>41866.5</v>
      </c>
      <c r="K8" s="269">
        <f>J8*50%</f>
        <v>20933.25</v>
      </c>
      <c r="L8" s="294">
        <v>0.8</v>
      </c>
    </row>
    <row r="9" spans="1:15" s="17" customFormat="1" x14ac:dyDescent="0.35">
      <c r="A9" s="267">
        <v>46023</v>
      </c>
      <c r="B9" s="290" t="s">
        <v>1</v>
      </c>
      <c r="C9" s="268" t="s">
        <v>137</v>
      </c>
      <c r="D9" s="291" t="s">
        <v>101</v>
      </c>
      <c r="E9" s="292" t="s">
        <v>203</v>
      </c>
      <c r="F9" s="293" t="s">
        <v>68</v>
      </c>
      <c r="G9" s="117" t="s">
        <v>71</v>
      </c>
      <c r="H9" s="269">
        <v>8453895</v>
      </c>
      <c r="I9" s="270">
        <v>0.1</v>
      </c>
      <c r="J9" s="269">
        <f t="shared" si="3"/>
        <v>845389.5</v>
      </c>
      <c r="K9" s="269">
        <f t="shared" si="0"/>
        <v>422694.75</v>
      </c>
      <c r="L9" s="294">
        <v>0.5</v>
      </c>
    </row>
    <row r="10" spans="1:15" s="287" customFormat="1" x14ac:dyDescent="0.35">
      <c r="A10" s="277">
        <v>46036</v>
      </c>
      <c r="B10" s="278" t="s">
        <v>1</v>
      </c>
      <c r="C10" s="279" t="s">
        <v>150</v>
      </c>
      <c r="D10" s="280" t="s">
        <v>101</v>
      </c>
      <c r="E10" s="281" t="s">
        <v>151</v>
      </c>
      <c r="F10" s="282" t="s">
        <v>132</v>
      </c>
      <c r="G10" s="283" t="s">
        <v>105</v>
      </c>
      <c r="H10" s="284">
        <v>16084.154352941177</v>
      </c>
      <c r="I10" s="285">
        <v>0.15000000000000008</v>
      </c>
      <c r="J10" s="284">
        <f t="shared" si="3"/>
        <v>2412.623152941178</v>
      </c>
      <c r="K10" s="284">
        <f t="shared" si="0"/>
        <v>1206.311576470589</v>
      </c>
      <c r="L10" s="286" t="s">
        <v>35</v>
      </c>
    </row>
    <row r="11" spans="1:15" x14ac:dyDescent="0.35">
      <c r="A11" s="258">
        <v>46048</v>
      </c>
      <c r="B11" s="271" t="s">
        <v>1</v>
      </c>
      <c r="C11" s="259"/>
      <c r="D11" s="272" t="s">
        <v>148</v>
      </c>
      <c r="E11" s="273" t="s">
        <v>152</v>
      </c>
      <c r="F11" s="274" t="s">
        <v>94</v>
      </c>
      <c r="G11" s="275" t="s">
        <v>80</v>
      </c>
      <c r="H11" s="260">
        <v>2060.27</v>
      </c>
      <c r="I11" s="261">
        <v>0.1</v>
      </c>
      <c r="J11" s="260">
        <f t="shared" si="3"/>
        <v>206.02700000000002</v>
      </c>
      <c r="K11" s="260">
        <f t="shared" ref="K11:K12" si="4">J11*50%</f>
        <v>103.01350000000001</v>
      </c>
      <c r="L11" s="276" t="s">
        <v>210</v>
      </c>
    </row>
    <row r="12" spans="1:15" s="287" customFormat="1" x14ac:dyDescent="0.35">
      <c r="A12" s="277">
        <v>46055</v>
      </c>
      <c r="B12" s="278" t="s">
        <v>1</v>
      </c>
      <c r="C12" s="279"/>
      <c r="D12" s="280" t="s">
        <v>101</v>
      </c>
      <c r="E12" s="281" t="s">
        <v>202</v>
      </c>
      <c r="F12" s="282" t="s">
        <v>132</v>
      </c>
      <c r="G12" s="283" t="s">
        <v>105</v>
      </c>
      <c r="H12" s="284">
        <v>96632.256326530623</v>
      </c>
      <c r="I12" s="285">
        <v>6.0000000000000067E-2</v>
      </c>
      <c r="J12" s="284">
        <f t="shared" ref="J12:J32" si="5">H12*I12</f>
        <v>5797.9353795918441</v>
      </c>
      <c r="K12" s="284">
        <f t="shared" si="4"/>
        <v>2898.9676897959221</v>
      </c>
      <c r="L12" s="286" t="s">
        <v>35</v>
      </c>
    </row>
    <row r="13" spans="1:15" x14ac:dyDescent="0.35">
      <c r="A13" s="258">
        <v>46055</v>
      </c>
      <c r="B13" s="271" t="s">
        <v>1</v>
      </c>
      <c r="C13" s="259" t="s">
        <v>113</v>
      </c>
      <c r="D13" s="272" t="s">
        <v>83</v>
      </c>
      <c r="E13" s="273" t="s">
        <v>204</v>
      </c>
      <c r="F13" s="274" t="s">
        <v>68</v>
      </c>
      <c r="G13" s="275" t="s">
        <v>85</v>
      </c>
      <c r="H13" s="260">
        <v>220000</v>
      </c>
      <c r="I13" s="261">
        <v>1</v>
      </c>
      <c r="J13" s="260">
        <f t="shared" si="5"/>
        <v>220000</v>
      </c>
      <c r="K13" s="260">
        <f>J13*30%</f>
        <v>66000</v>
      </c>
      <c r="L13" s="276">
        <v>0.8</v>
      </c>
    </row>
    <row r="14" spans="1:15" s="287" customFormat="1" x14ac:dyDescent="0.35">
      <c r="A14" s="277">
        <v>46064</v>
      </c>
      <c r="B14" s="278" t="s">
        <v>1</v>
      </c>
      <c r="C14" s="279"/>
      <c r="D14" s="280" t="s">
        <v>101</v>
      </c>
      <c r="E14" s="281" t="s">
        <v>207</v>
      </c>
      <c r="F14" s="282" t="s">
        <v>132</v>
      </c>
      <c r="G14" s="283" t="s">
        <v>105</v>
      </c>
      <c r="H14" s="284">
        <v>10000</v>
      </c>
      <c r="I14" s="285">
        <v>0.1</v>
      </c>
      <c r="J14" s="284">
        <f t="shared" si="5"/>
        <v>1000</v>
      </c>
      <c r="K14" s="284">
        <f>J14*30%</f>
        <v>300</v>
      </c>
      <c r="L14" s="286" t="s">
        <v>35</v>
      </c>
    </row>
    <row r="15" spans="1:15" s="17" customFormat="1" x14ac:dyDescent="0.35">
      <c r="A15" s="267">
        <v>46072</v>
      </c>
      <c r="B15" s="290" t="s">
        <v>1</v>
      </c>
      <c r="C15" s="268" t="s">
        <v>129</v>
      </c>
      <c r="D15" s="291" t="s">
        <v>69</v>
      </c>
      <c r="E15" s="292" t="s">
        <v>131</v>
      </c>
      <c r="F15" s="293" t="s">
        <v>132</v>
      </c>
      <c r="G15" s="117" t="s">
        <v>133</v>
      </c>
      <c r="H15" s="269">
        <v>450000</v>
      </c>
      <c r="I15" s="270">
        <v>0.23609164382086756</v>
      </c>
      <c r="J15" s="269">
        <f>H15*I15</f>
        <v>106241.2397193904</v>
      </c>
      <c r="K15" s="269">
        <f t="shared" ref="K15:K22" si="6">J15*50%</f>
        <v>53120.619859695202</v>
      </c>
      <c r="L15" s="294">
        <v>0.5</v>
      </c>
    </row>
    <row r="16" spans="1:15" s="17" customFormat="1" x14ac:dyDescent="0.35">
      <c r="A16" s="267">
        <v>46083</v>
      </c>
      <c r="B16" s="290" t="s">
        <v>1</v>
      </c>
      <c r="C16" s="268"/>
      <c r="D16" s="291" t="s">
        <v>130</v>
      </c>
      <c r="E16" s="292" t="s">
        <v>285</v>
      </c>
      <c r="F16" s="293" t="s">
        <v>132</v>
      </c>
      <c r="G16" s="117" t="s">
        <v>80</v>
      </c>
      <c r="H16" s="269">
        <v>15400</v>
      </c>
      <c r="I16" s="270">
        <v>9.0909090909090912E-2</v>
      </c>
      <c r="J16" s="269">
        <f>H16*I16</f>
        <v>1400</v>
      </c>
      <c r="K16" s="269">
        <f t="shared" si="6"/>
        <v>700</v>
      </c>
      <c r="L16" s="294">
        <v>0.8</v>
      </c>
      <c r="O16" s="295"/>
    </row>
    <row r="17" spans="1:12" x14ac:dyDescent="0.35">
      <c r="A17" s="258">
        <v>46084</v>
      </c>
      <c r="B17" s="271" t="s">
        <v>1</v>
      </c>
      <c r="C17" s="259"/>
      <c r="D17" s="272" t="s">
        <v>107</v>
      </c>
      <c r="E17" s="273" t="s">
        <v>284</v>
      </c>
      <c r="F17" s="274" t="s">
        <v>68</v>
      </c>
      <c r="G17" s="275" t="s">
        <v>136</v>
      </c>
      <c r="H17" s="260">
        <v>50000</v>
      </c>
      <c r="I17" s="261">
        <v>0.2</v>
      </c>
      <c r="J17" s="260">
        <f>H17*I17</f>
        <v>10000</v>
      </c>
      <c r="K17" s="260">
        <f t="shared" si="6"/>
        <v>5000</v>
      </c>
      <c r="L17" s="276" t="s">
        <v>37</v>
      </c>
    </row>
    <row r="18" spans="1:12" x14ac:dyDescent="0.35">
      <c r="A18" s="258">
        <v>46092</v>
      </c>
      <c r="B18" s="271" t="s">
        <v>1</v>
      </c>
      <c r="C18" s="259"/>
      <c r="D18" s="272" t="s">
        <v>83</v>
      </c>
      <c r="E18" s="273" t="s">
        <v>282</v>
      </c>
      <c r="F18" s="274" t="s">
        <v>132</v>
      </c>
      <c r="G18" s="275" t="s">
        <v>133</v>
      </c>
      <c r="H18" s="260">
        <v>100000</v>
      </c>
      <c r="I18" s="261">
        <v>0.2</v>
      </c>
      <c r="J18" s="260">
        <f t="shared" si="5"/>
        <v>20000</v>
      </c>
      <c r="K18" s="260">
        <f t="shared" si="6"/>
        <v>10000</v>
      </c>
      <c r="L18" s="276" t="s">
        <v>37</v>
      </c>
    </row>
    <row r="19" spans="1:12" x14ac:dyDescent="0.35">
      <c r="A19" s="258">
        <v>46090</v>
      </c>
      <c r="B19" s="271" t="s">
        <v>1</v>
      </c>
      <c r="C19" s="259"/>
      <c r="D19" s="272" t="s">
        <v>286</v>
      </c>
      <c r="E19" s="273" t="s">
        <v>287</v>
      </c>
      <c r="F19" s="274" t="s">
        <v>68</v>
      </c>
      <c r="G19" s="275" t="s">
        <v>71</v>
      </c>
      <c r="H19" s="260">
        <v>1260455.05</v>
      </c>
      <c r="I19" s="261">
        <v>0.25</v>
      </c>
      <c r="J19" s="260">
        <f t="shared" si="5"/>
        <v>315113.76250000001</v>
      </c>
      <c r="K19" s="260">
        <f t="shared" si="6"/>
        <v>157556.88125000001</v>
      </c>
      <c r="L19" s="276">
        <v>0.5</v>
      </c>
    </row>
    <row r="20" spans="1:12" s="17" customFormat="1" x14ac:dyDescent="0.35">
      <c r="A20" s="267">
        <v>46105</v>
      </c>
      <c r="B20" s="290" t="s">
        <v>1</v>
      </c>
      <c r="C20" s="268" t="s">
        <v>113</v>
      </c>
      <c r="D20" s="291" t="s">
        <v>90</v>
      </c>
      <c r="E20" s="292" t="s">
        <v>319</v>
      </c>
      <c r="F20" s="293" t="s">
        <v>68</v>
      </c>
      <c r="G20" s="117" t="s">
        <v>145</v>
      </c>
      <c r="H20" s="269">
        <v>45000</v>
      </c>
      <c r="I20" s="270">
        <v>1</v>
      </c>
      <c r="J20" s="269">
        <f>H20*I20</f>
        <v>45000</v>
      </c>
      <c r="K20" s="269">
        <f>J20*50%</f>
        <v>22500</v>
      </c>
      <c r="L20" s="294">
        <v>0.8</v>
      </c>
    </row>
    <row r="21" spans="1:12" s="17" customFormat="1" x14ac:dyDescent="0.35">
      <c r="A21" s="267">
        <v>46105</v>
      </c>
      <c r="B21" s="290" t="s">
        <v>1</v>
      </c>
      <c r="C21" s="268" t="s">
        <v>113</v>
      </c>
      <c r="D21" s="291" t="s">
        <v>90</v>
      </c>
      <c r="E21" s="292" t="s">
        <v>295</v>
      </c>
      <c r="F21" s="293" t="s">
        <v>68</v>
      </c>
      <c r="G21" s="117" t="s">
        <v>145</v>
      </c>
      <c r="H21" s="269">
        <v>35000</v>
      </c>
      <c r="I21" s="270">
        <v>1</v>
      </c>
      <c r="J21" s="269">
        <f>H21*I21</f>
        <v>35000</v>
      </c>
      <c r="K21" s="269">
        <f>J21*50%</f>
        <v>17500</v>
      </c>
      <c r="L21" s="294">
        <v>0.5</v>
      </c>
    </row>
    <row r="22" spans="1:12" x14ac:dyDescent="0.35">
      <c r="A22" s="258">
        <v>45741</v>
      </c>
      <c r="B22" s="271" t="s">
        <v>1</v>
      </c>
      <c r="C22" s="259" t="s">
        <v>141</v>
      </c>
      <c r="D22" s="272" t="s">
        <v>83</v>
      </c>
      <c r="E22" s="273" t="s">
        <v>142</v>
      </c>
      <c r="F22" s="274" t="s">
        <v>132</v>
      </c>
      <c r="G22" s="275" t="s">
        <v>80</v>
      </c>
      <c r="H22" s="260">
        <v>200000</v>
      </c>
      <c r="I22" s="261">
        <v>0.1</v>
      </c>
      <c r="J22" s="260">
        <f t="shared" si="5"/>
        <v>20000</v>
      </c>
      <c r="K22" s="260">
        <f t="shared" si="6"/>
        <v>10000</v>
      </c>
      <c r="L22" s="276">
        <v>0.5</v>
      </c>
    </row>
    <row r="23" spans="1:12" x14ac:dyDescent="0.35">
      <c r="A23" s="258">
        <v>46110</v>
      </c>
      <c r="B23" s="271" t="s">
        <v>1</v>
      </c>
      <c r="C23" s="259" t="s">
        <v>113</v>
      </c>
      <c r="D23" s="272" t="s">
        <v>154</v>
      </c>
      <c r="E23" s="273" t="s">
        <v>294</v>
      </c>
      <c r="F23" s="274" t="s">
        <v>68</v>
      </c>
      <c r="G23" s="275" t="s">
        <v>85</v>
      </c>
      <c r="H23" s="260">
        <v>8872000</v>
      </c>
      <c r="I23" s="261">
        <v>0.5</v>
      </c>
      <c r="J23" s="260">
        <f t="shared" si="5"/>
        <v>4436000</v>
      </c>
      <c r="K23" s="260">
        <f t="shared" ref="K23:K30" si="7">J23*50%</f>
        <v>2218000</v>
      </c>
      <c r="L23" s="276">
        <v>0.5</v>
      </c>
    </row>
    <row r="24" spans="1:12" s="17" customFormat="1" x14ac:dyDescent="0.35">
      <c r="A24" s="267">
        <v>46112</v>
      </c>
      <c r="B24" s="290" t="s">
        <v>1</v>
      </c>
      <c r="C24" s="268" t="s">
        <v>137</v>
      </c>
      <c r="D24" s="291" t="s">
        <v>90</v>
      </c>
      <c r="E24" s="292" t="s">
        <v>296</v>
      </c>
      <c r="F24" s="293" t="s">
        <v>68</v>
      </c>
      <c r="G24" s="117" t="s">
        <v>80</v>
      </c>
      <c r="H24" s="269">
        <v>27235</v>
      </c>
      <c r="I24" s="270">
        <v>0.05</v>
      </c>
      <c r="J24" s="269">
        <f t="shared" si="5"/>
        <v>1361.75</v>
      </c>
      <c r="K24" s="269">
        <f t="shared" si="7"/>
        <v>680.875</v>
      </c>
      <c r="L24" s="294">
        <v>0.5</v>
      </c>
    </row>
    <row r="25" spans="1:12" s="17" customFormat="1" x14ac:dyDescent="0.35">
      <c r="A25" s="267">
        <v>46112</v>
      </c>
      <c r="B25" s="290" t="s">
        <v>1</v>
      </c>
      <c r="C25" s="268" t="s">
        <v>310</v>
      </c>
      <c r="D25" s="291" t="s">
        <v>90</v>
      </c>
      <c r="E25" s="292" t="s">
        <v>297</v>
      </c>
      <c r="F25" s="293" t="s">
        <v>89</v>
      </c>
      <c r="G25" s="117" t="s">
        <v>89</v>
      </c>
      <c r="H25" s="269">
        <v>165000</v>
      </c>
      <c r="I25" s="270">
        <v>0.3</v>
      </c>
      <c r="J25" s="269">
        <f t="shared" si="5"/>
        <v>49500</v>
      </c>
      <c r="K25" s="269">
        <f t="shared" si="7"/>
        <v>24750</v>
      </c>
      <c r="L25" s="294">
        <v>0.5</v>
      </c>
    </row>
    <row r="26" spans="1:12" x14ac:dyDescent="0.35">
      <c r="A26" s="258">
        <v>46114</v>
      </c>
      <c r="B26" s="271" t="s">
        <v>1</v>
      </c>
      <c r="C26" s="259" t="s">
        <v>303</v>
      </c>
      <c r="D26" s="272" t="s">
        <v>153</v>
      </c>
      <c r="E26" s="273" t="s">
        <v>304</v>
      </c>
      <c r="F26" s="274" t="s">
        <v>132</v>
      </c>
      <c r="G26" s="275" t="s">
        <v>105</v>
      </c>
      <c r="H26" s="260">
        <v>23497.016470588234</v>
      </c>
      <c r="I26" s="261">
        <v>0.1</v>
      </c>
      <c r="J26" s="260">
        <f t="shared" si="5"/>
        <v>2349.7016470588237</v>
      </c>
      <c r="K26" s="260">
        <f t="shared" si="7"/>
        <v>1174.8508235294119</v>
      </c>
      <c r="L26" s="276">
        <v>0.5</v>
      </c>
    </row>
    <row r="27" spans="1:12" s="17" customFormat="1" x14ac:dyDescent="0.35">
      <c r="A27" s="267">
        <v>46120</v>
      </c>
      <c r="B27" s="290" t="s">
        <v>1</v>
      </c>
      <c r="C27" s="268"/>
      <c r="D27" s="291" t="s">
        <v>101</v>
      </c>
      <c r="E27" s="292" t="s">
        <v>308</v>
      </c>
      <c r="F27" s="293" t="s">
        <v>132</v>
      </c>
      <c r="G27" s="117" t="s">
        <v>80</v>
      </c>
      <c r="H27" s="269">
        <v>48024.041818181802</v>
      </c>
      <c r="I27" s="270">
        <v>0.12119565217391283</v>
      </c>
      <c r="J27" s="269">
        <f t="shared" si="5"/>
        <v>5820.3050681818058</v>
      </c>
      <c r="K27" s="269">
        <f t="shared" si="7"/>
        <v>2910.1525340909029</v>
      </c>
      <c r="L27" s="294">
        <v>0.8</v>
      </c>
    </row>
    <row r="28" spans="1:12" s="17" customFormat="1" x14ac:dyDescent="0.35">
      <c r="A28" s="267">
        <v>46122</v>
      </c>
      <c r="B28" s="290" t="s">
        <v>1</v>
      </c>
      <c r="C28" s="268"/>
      <c r="D28" s="291" t="s">
        <v>101</v>
      </c>
      <c r="E28" s="292" t="s">
        <v>321</v>
      </c>
      <c r="F28" s="293" t="s">
        <v>132</v>
      </c>
      <c r="G28" s="117" t="s">
        <v>80</v>
      </c>
      <c r="H28" s="269">
        <v>16127.265454545453</v>
      </c>
      <c r="I28" s="270">
        <v>0.15115537825942463</v>
      </c>
      <c r="J28" s="269">
        <f t="shared" si="5"/>
        <v>2437.7229100719696</v>
      </c>
      <c r="K28" s="269">
        <f t="shared" si="7"/>
        <v>1218.8614550359848</v>
      </c>
      <c r="L28" s="294">
        <v>0.8</v>
      </c>
    </row>
    <row r="29" spans="1:12" s="17" customFormat="1" x14ac:dyDescent="0.35">
      <c r="A29" s="267">
        <v>46122</v>
      </c>
      <c r="B29" s="290" t="s">
        <v>1</v>
      </c>
      <c r="C29" s="268"/>
      <c r="D29" s="291" t="s">
        <v>101</v>
      </c>
      <c r="E29" s="292" t="s">
        <v>322</v>
      </c>
      <c r="F29" s="293" t="s">
        <v>68</v>
      </c>
      <c r="G29" s="117" t="s">
        <v>80</v>
      </c>
      <c r="H29" s="269">
        <f>20816.64/0.8</f>
        <v>26020.799999999999</v>
      </c>
      <c r="I29" s="270">
        <v>0.2</v>
      </c>
      <c r="J29" s="269">
        <f t="shared" si="5"/>
        <v>5204.16</v>
      </c>
      <c r="K29" s="269">
        <f t="shared" si="7"/>
        <v>2602.08</v>
      </c>
      <c r="L29" s="294">
        <v>0.4</v>
      </c>
    </row>
    <row r="30" spans="1:12" s="17" customFormat="1" x14ac:dyDescent="0.35">
      <c r="A30" s="267">
        <v>46122</v>
      </c>
      <c r="B30" s="290" t="s">
        <v>1</v>
      </c>
      <c r="C30" s="268"/>
      <c r="D30" s="291" t="s">
        <v>101</v>
      </c>
      <c r="E30" s="292" t="s">
        <v>323</v>
      </c>
      <c r="F30" s="293" t="s">
        <v>68</v>
      </c>
      <c r="G30" s="117" t="s">
        <v>80</v>
      </c>
      <c r="H30" s="269">
        <v>102104.68645161291</v>
      </c>
      <c r="I30" s="270">
        <v>7.0000000000000007E-2</v>
      </c>
      <c r="J30" s="269">
        <f t="shared" si="5"/>
        <v>7147.3280516129043</v>
      </c>
      <c r="K30" s="269">
        <f t="shared" si="7"/>
        <v>3573.6640258064522</v>
      </c>
      <c r="L30" s="294">
        <v>0.5</v>
      </c>
    </row>
    <row r="31" spans="1:12" s="17" customFormat="1" x14ac:dyDescent="0.35">
      <c r="A31" s="267">
        <v>46129</v>
      </c>
      <c r="B31" s="290" t="s">
        <v>1</v>
      </c>
      <c r="C31" s="268"/>
      <c r="D31" s="291" t="s">
        <v>101</v>
      </c>
      <c r="E31" s="292" t="s">
        <v>324</v>
      </c>
      <c r="F31" s="293" t="s">
        <v>68</v>
      </c>
      <c r="G31" s="117" t="s">
        <v>80</v>
      </c>
      <c r="H31" s="269"/>
      <c r="I31" s="270"/>
      <c r="J31" s="269">
        <f t="shared" si="5"/>
        <v>0</v>
      </c>
      <c r="K31" s="269"/>
      <c r="L31" s="294">
        <v>0.4</v>
      </c>
    </row>
    <row r="32" spans="1:12" s="17" customFormat="1" x14ac:dyDescent="0.35">
      <c r="A32" s="267">
        <v>46132</v>
      </c>
      <c r="B32" s="290" t="s">
        <v>1</v>
      </c>
      <c r="C32" s="268"/>
      <c r="D32" s="291" t="s">
        <v>101</v>
      </c>
      <c r="E32" s="292" t="s">
        <v>325</v>
      </c>
      <c r="F32" s="293" t="s">
        <v>68</v>
      </c>
      <c r="G32" s="117" t="s">
        <v>80</v>
      </c>
      <c r="H32" s="269"/>
      <c r="I32" s="270"/>
      <c r="J32" s="269">
        <f t="shared" si="5"/>
        <v>0</v>
      </c>
      <c r="K32" s="269"/>
      <c r="L32" s="294">
        <v>0.4</v>
      </c>
    </row>
    <row r="33" spans="1:12" x14ac:dyDescent="0.35">
      <c r="A33" s="259"/>
      <c r="B33" s="271"/>
      <c r="C33" s="259"/>
      <c r="D33" s="262"/>
      <c r="E33" s="273"/>
      <c r="F33" s="293"/>
      <c r="G33" s="117"/>
      <c r="H33" s="269"/>
      <c r="I33" s="270"/>
      <c r="J33" s="269"/>
      <c r="K33" s="269"/>
      <c r="L33" s="294"/>
    </row>
    <row r="34" spans="1:12" x14ac:dyDescent="0.35">
      <c r="A34" s="259"/>
      <c r="B34" s="271"/>
      <c r="C34" s="259"/>
      <c r="D34" s="262"/>
      <c r="E34" s="273"/>
      <c r="F34" s="293"/>
      <c r="G34" s="117"/>
      <c r="H34" s="269"/>
      <c r="I34" s="270"/>
      <c r="J34" s="269"/>
      <c r="K34" s="269"/>
      <c r="L34" s="294"/>
    </row>
    <row r="35" spans="1:12" x14ac:dyDescent="0.35">
      <c r="A35" s="259"/>
      <c r="B35" s="259"/>
      <c r="C35" s="259"/>
      <c r="D35" s="262"/>
      <c r="E35" s="262"/>
      <c r="F35" s="293"/>
      <c r="G35" s="117"/>
      <c r="H35" s="269"/>
      <c r="I35" s="270"/>
      <c r="J35" s="269"/>
      <c r="K35" s="269"/>
      <c r="L35" s="294"/>
    </row>
    <row r="36" spans="1:12" x14ac:dyDescent="0.35">
      <c r="A36" s="259"/>
      <c r="B36" s="259"/>
      <c r="C36" s="259"/>
      <c r="D36" s="262"/>
      <c r="E36" s="262"/>
      <c r="F36" s="293"/>
      <c r="G36" s="117"/>
      <c r="H36" s="269"/>
      <c r="I36" s="270"/>
      <c r="J36" s="269"/>
      <c r="K36" s="269"/>
      <c r="L36" s="294"/>
    </row>
    <row r="37" spans="1:12" x14ac:dyDescent="0.35">
      <c r="A37" s="259"/>
      <c r="B37" s="259"/>
      <c r="C37" s="259"/>
      <c r="D37" s="262"/>
      <c r="E37" s="262"/>
      <c r="F37" s="293"/>
      <c r="G37" s="117"/>
      <c r="H37" s="269"/>
      <c r="I37" s="270"/>
      <c r="J37" s="269"/>
      <c r="K37" s="269"/>
      <c r="L37" s="294"/>
    </row>
    <row r="38" spans="1:12" x14ac:dyDescent="0.35">
      <c r="A38" s="259"/>
      <c r="B38" s="259"/>
      <c r="C38" s="259"/>
      <c r="D38" s="262"/>
      <c r="E38" s="262"/>
      <c r="F38" s="293"/>
      <c r="G38" s="117"/>
      <c r="H38" s="269"/>
      <c r="I38" s="270"/>
      <c r="J38" s="269"/>
      <c r="K38" s="269"/>
      <c r="L38" s="294"/>
    </row>
    <row r="39" spans="1:12" x14ac:dyDescent="0.35">
      <c r="A39" s="259"/>
      <c r="B39" s="259"/>
      <c r="C39" s="259"/>
      <c r="D39" s="262"/>
      <c r="E39" s="262"/>
      <c r="F39" s="293"/>
      <c r="G39" s="117"/>
      <c r="H39" s="269"/>
      <c r="I39" s="270"/>
      <c r="J39" s="269"/>
      <c r="K39" s="269"/>
      <c r="L39" s="294"/>
    </row>
    <row r="40" spans="1:12" x14ac:dyDescent="0.35">
      <c r="A40" s="259"/>
      <c r="B40" s="259"/>
      <c r="C40" s="259"/>
      <c r="D40" s="262"/>
      <c r="E40" s="262"/>
      <c r="F40" s="293"/>
      <c r="G40" s="117"/>
      <c r="H40" s="269"/>
      <c r="I40" s="270"/>
      <c r="J40" s="269"/>
      <c r="K40" s="269"/>
      <c r="L40" s="294"/>
    </row>
    <row r="41" spans="1:12" x14ac:dyDescent="0.35">
      <c r="A41" s="259"/>
      <c r="B41" s="259"/>
      <c r="C41" s="259"/>
      <c r="D41" s="262"/>
      <c r="E41" s="262"/>
      <c r="F41" s="293"/>
      <c r="G41" s="117"/>
      <c r="H41" s="269"/>
      <c r="I41" s="270"/>
      <c r="J41" s="269"/>
      <c r="K41" s="269"/>
      <c r="L41" s="294"/>
    </row>
    <row r="42" spans="1:12" x14ac:dyDescent="0.35">
      <c r="A42" s="259"/>
      <c r="B42" s="259"/>
      <c r="C42" s="259"/>
      <c r="D42" s="262"/>
      <c r="E42" s="262"/>
      <c r="F42" s="293"/>
      <c r="G42" s="117"/>
      <c r="H42" s="269"/>
      <c r="I42" s="270"/>
      <c r="J42" s="269"/>
      <c r="K42" s="269"/>
      <c r="L42" s="294"/>
    </row>
    <row r="43" spans="1:12" x14ac:dyDescent="0.35">
      <c r="A43" s="259"/>
      <c r="B43" s="259"/>
      <c r="C43" s="259"/>
      <c r="D43" s="262"/>
      <c r="E43" s="262"/>
      <c r="F43" s="293"/>
      <c r="G43" s="117"/>
      <c r="H43" s="269"/>
      <c r="I43" s="270"/>
      <c r="J43" s="269"/>
      <c r="K43" s="269"/>
      <c r="L43" s="294"/>
    </row>
    <row r="44" spans="1:12" x14ac:dyDescent="0.35">
      <c r="A44" s="259"/>
      <c r="B44" s="259"/>
      <c r="C44" s="259"/>
      <c r="D44" s="262"/>
      <c r="E44" s="262"/>
      <c r="F44" s="293"/>
      <c r="G44" s="117"/>
      <c r="H44" s="269"/>
      <c r="I44" s="270"/>
      <c r="J44" s="269"/>
      <c r="K44" s="269"/>
      <c r="L44" s="294"/>
    </row>
    <row r="45" spans="1:12" x14ac:dyDescent="0.35">
      <c r="A45" s="259"/>
      <c r="B45" s="259"/>
      <c r="C45" s="259"/>
      <c r="D45" s="262"/>
      <c r="E45" s="262"/>
      <c r="F45" s="293"/>
      <c r="G45" s="117"/>
      <c r="H45" s="269"/>
      <c r="I45" s="270"/>
      <c r="J45" s="269"/>
      <c r="K45" s="269"/>
      <c r="L45" s="294"/>
    </row>
    <row r="46" spans="1:12" x14ac:dyDescent="0.35">
      <c r="A46" s="259"/>
      <c r="B46" s="259"/>
      <c r="C46" s="259"/>
      <c r="D46" s="262"/>
      <c r="E46" s="262"/>
      <c r="F46" s="293"/>
      <c r="G46" s="117"/>
      <c r="H46" s="269"/>
      <c r="I46" s="270"/>
      <c r="J46" s="269"/>
      <c r="K46" s="269"/>
      <c r="L46" s="294"/>
    </row>
    <row r="47" spans="1:12" x14ac:dyDescent="0.35">
      <c r="A47" s="259"/>
      <c r="B47" s="259"/>
      <c r="C47" s="259"/>
      <c r="D47" s="262"/>
      <c r="E47" s="262"/>
      <c r="F47" s="293"/>
      <c r="G47" s="117"/>
      <c r="H47" s="269"/>
      <c r="I47" s="270"/>
      <c r="J47" s="269"/>
      <c r="K47" s="269"/>
      <c r="L47" s="294"/>
    </row>
    <row r="48" spans="1:12" x14ac:dyDescent="0.35">
      <c r="A48" s="259"/>
      <c r="B48" s="259"/>
      <c r="C48" s="259"/>
      <c r="D48" s="262"/>
      <c r="E48" s="262"/>
      <c r="F48" s="293"/>
      <c r="G48" s="117"/>
      <c r="H48" s="269"/>
      <c r="I48" s="270"/>
      <c r="J48" s="269"/>
      <c r="K48" s="269"/>
      <c r="L48" s="294"/>
    </row>
    <row r="49" spans="1:12" x14ac:dyDescent="0.35">
      <c r="A49" s="259"/>
      <c r="B49" s="259"/>
      <c r="C49" s="259"/>
      <c r="D49" s="262"/>
      <c r="E49" s="262"/>
      <c r="F49" s="293"/>
      <c r="G49" s="117"/>
      <c r="H49" s="269"/>
      <c r="I49" s="270"/>
      <c r="J49" s="269"/>
      <c r="K49" s="269"/>
      <c r="L49" s="294"/>
    </row>
    <row r="50" spans="1:12" x14ac:dyDescent="0.35">
      <c r="A50" s="259"/>
      <c r="B50" s="259"/>
      <c r="C50" s="259"/>
      <c r="D50" s="262"/>
      <c r="E50" s="262"/>
      <c r="F50" s="293"/>
      <c r="G50" s="117"/>
      <c r="H50" s="269"/>
      <c r="I50" s="270"/>
      <c r="J50" s="269"/>
      <c r="K50" s="269"/>
      <c r="L50" s="294"/>
    </row>
  </sheetData>
  <autoFilter ref="A1:L34" xr:uid="{D234EBFD-9F76-41B2-9C94-BBC66E482BE9}"/>
  <conditionalFormatting sqref="D1:J5 L1:XEY5 G6:G14 F15:J17 D18:J18 L18:XEY18 I19:I21 G19:G50">
    <cfRule type="cellIs" dxfId="7" priority="10" operator="equal">
      <formula>80</formula>
    </cfRule>
  </conditionalFormatting>
  <conditionalFormatting sqref="H8">
    <cfRule type="cellIs" dxfId="6" priority="1" operator="equal">
      <formula>80</formula>
    </cfRule>
  </conditionalFormatting>
  <conditionalFormatting sqref="L1:L5 L13:L18">
    <cfRule type="cellIs" dxfId="5" priority="12" operator="equal">
      <formula>"Billed"</formula>
    </cfRule>
    <cfRule type="cellIs" dxfId="4" priority="13" operator="equal">
      <formula>"Billed"</formula>
    </cfRule>
    <cfRule type="cellIs" dxfId="3" priority="14" operator="equal">
      <formula>80</formula>
    </cfRule>
    <cfRule type="cellIs" dxfId="2" priority="15" operator="equal">
      <formula>50</formula>
    </cfRule>
    <cfRule type="cellIs" dxfId="1" priority="16" operator="equal">
      <formula>50</formula>
    </cfRule>
    <cfRule type="cellIs" dxfId="0" priority="19" operator="equal">
      <formula>80</formula>
    </cfRule>
  </conditionalFormatting>
  <dataValidations count="4">
    <dataValidation type="list" allowBlank="1" showInputMessage="1" showErrorMessage="1" sqref="L6" xr:uid="{64B6D4A2-5062-4AAC-8F6B-78F29CA602FE}">
      <formula1>"40%, 50%, 80%, On Hold, Didn’t Participate, Lost"</formula1>
    </dataValidation>
    <dataValidation type="list" allowBlank="1" showInputMessage="1" showErrorMessage="1" sqref="L2:L5 L7:L50" xr:uid="{EE49955A-A2A9-40FC-804C-F7BA32775D7D}">
      <formula1>"40%, 50%, 80%, On Hold, Didn’t Participate, Lost,  Won Yet to be Booked in Vikas"</formula1>
    </dataValidation>
    <dataValidation type="list" allowBlank="1" showInputMessage="1" showErrorMessage="1" sqref="G2:G50" xr:uid="{E7844B9A-F9A1-4B14-89B6-150D07D0972F}">
      <formula1>"Network, Telecom, ELV, Microsoft, Cloud, BizApp, Data, IOT, Cybersecurity, Managed Services, Other Application, Micro, Outsourcing, Micro, Hardware, Licenses, AMC Alpha with B2B, AMC Alpha, AMC B2B"</formula1>
    </dataValidation>
    <dataValidation type="list" allowBlank="1" showInputMessage="1" showErrorMessage="1" sqref="F2:F50" xr:uid="{5F1A9C29-0F80-45BE-AF62-A1D9994CA7A9}">
      <formula1>"Micro, NW, ELV, Out, MSDT"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E5D2-B2A8-460F-96CF-CC319BDD8771}">
  <dimension ref="A1:H25"/>
  <sheetViews>
    <sheetView topLeftCell="A7" workbookViewId="0">
      <selection activeCell="C25" sqref="C25"/>
    </sheetView>
  </sheetViews>
  <sheetFormatPr defaultColWidth="8.81640625" defaultRowHeight="14.5" x14ac:dyDescent="0.35"/>
  <cols>
    <col min="1" max="1" width="24.1796875" bestFit="1" customWidth="1"/>
    <col min="2" max="2" width="10.08984375" bestFit="1" customWidth="1"/>
    <col min="3" max="3" width="48.08984375" bestFit="1" customWidth="1"/>
    <col min="4" max="4" width="12.90625" bestFit="1" customWidth="1"/>
    <col min="5" max="5" width="11.90625" style="168" bestFit="1" customWidth="1"/>
    <col min="6" max="6" width="7.453125" bestFit="1" customWidth="1"/>
    <col min="7" max="7" width="17.1796875" bestFit="1" customWidth="1"/>
    <col min="8" max="8" width="60.08984375" bestFit="1" customWidth="1"/>
    <col min="9" max="9" width="5.81640625" bestFit="1" customWidth="1"/>
  </cols>
  <sheetData>
    <row r="1" spans="1:8" x14ac:dyDescent="0.35">
      <c r="A1" s="314" t="s">
        <v>154</v>
      </c>
      <c r="B1" s="315"/>
      <c r="C1" s="315"/>
      <c r="D1" s="315"/>
      <c r="E1" s="315"/>
      <c r="F1" s="315"/>
      <c r="G1" s="315"/>
      <c r="H1" s="316"/>
    </row>
    <row r="2" spans="1:8" x14ac:dyDescent="0.35">
      <c r="A2" s="158" t="s">
        <v>155</v>
      </c>
      <c r="B2" s="159" t="s">
        <v>156</v>
      </c>
      <c r="C2" s="159" t="s">
        <v>157</v>
      </c>
      <c r="D2" s="159" t="s">
        <v>158</v>
      </c>
      <c r="E2" s="160" t="s">
        <v>159</v>
      </c>
      <c r="F2" s="159" t="s">
        <v>160</v>
      </c>
      <c r="G2" s="159" t="s">
        <v>161</v>
      </c>
      <c r="H2" s="161" t="s">
        <v>162</v>
      </c>
    </row>
    <row r="3" spans="1:8" x14ac:dyDescent="0.35">
      <c r="A3" s="314" t="s">
        <v>163</v>
      </c>
      <c r="B3" s="315"/>
      <c r="C3" s="315"/>
      <c r="D3" s="315"/>
      <c r="E3" s="315"/>
      <c r="F3" s="315"/>
      <c r="G3" s="315"/>
      <c r="H3" s="316"/>
    </row>
    <row r="4" spans="1:8" x14ac:dyDescent="0.35">
      <c r="A4" s="162" t="s">
        <v>164</v>
      </c>
      <c r="B4" s="163">
        <v>45656</v>
      </c>
      <c r="C4" s="164" t="s">
        <v>165</v>
      </c>
      <c r="D4" s="159">
        <v>2422401348</v>
      </c>
      <c r="E4" s="165">
        <v>15435</v>
      </c>
      <c r="F4" s="164" t="s">
        <v>166</v>
      </c>
      <c r="G4" s="164" t="s">
        <v>167</v>
      </c>
      <c r="H4" s="166" t="s">
        <v>168</v>
      </c>
    </row>
    <row r="5" spans="1:8" x14ac:dyDescent="0.35">
      <c r="A5" s="162" t="s">
        <v>169</v>
      </c>
      <c r="B5" s="163">
        <v>45673</v>
      </c>
      <c r="C5" s="164" t="s">
        <v>165</v>
      </c>
      <c r="D5" s="164">
        <v>2522400037</v>
      </c>
      <c r="E5" s="165">
        <v>10080</v>
      </c>
      <c r="F5" s="164" t="s">
        <v>170</v>
      </c>
      <c r="G5" s="164" t="s">
        <v>167</v>
      </c>
      <c r="H5" s="166" t="s">
        <v>171</v>
      </c>
    </row>
    <row r="6" spans="1:8" x14ac:dyDescent="0.35">
      <c r="A6" s="162"/>
      <c r="B6" s="164"/>
      <c r="C6" s="164"/>
      <c r="D6" s="164"/>
      <c r="E6" s="165"/>
      <c r="F6" s="164"/>
      <c r="G6" s="164"/>
      <c r="H6" s="166"/>
    </row>
    <row r="7" spans="1:8" x14ac:dyDescent="0.35">
      <c r="A7" s="314" t="s">
        <v>172</v>
      </c>
      <c r="B7" s="315"/>
      <c r="C7" s="315"/>
      <c r="D7" s="315"/>
      <c r="E7" s="315"/>
      <c r="F7" s="315"/>
      <c r="G7" s="315"/>
      <c r="H7" s="316"/>
    </row>
    <row r="8" spans="1:8" x14ac:dyDescent="0.35">
      <c r="A8" s="162" t="s">
        <v>173</v>
      </c>
      <c r="B8" s="163">
        <v>45797</v>
      </c>
      <c r="C8" s="164" t="s">
        <v>165</v>
      </c>
      <c r="D8" s="167">
        <v>2522400480</v>
      </c>
      <c r="E8" s="165">
        <v>253995</v>
      </c>
      <c r="F8" s="164" t="s">
        <v>170</v>
      </c>
      <c r="G8" s="164" t="s">
        <v>167</v>
      </c>
      <c r="H8" s="166" t="s">
        <v>174</v>
      </c>
    </row>
    <row r="9" spans="1:8" x14ac:dyDescent="0.35">
      <c r="A9" s="162" t="s">
        <v>215</v>
      </c>
      <c r="B9" s="163">
        <v>45918</v>
      </c>
      <c r="C9" s="164" t="s">
        <v>165</v>
      </c>
      <c r="D9" s="167">
        <v>2522400931</v>
      </c>
      <c r="E9" s="165">
        <v>21396.97</v>
      </c>
      <c r="F9" s="164" t="s">
        <v>166</v>
      </c>
      <c r="G9" s="164" t="s">
        <v>167</v>
      </c>
      <c r="H9" s="166" t="s">
        <v>178</v>
      </c>
    </row>
    <row r="10" spans="1:8" x14ac:dyDescent="0.35">
      <c r="A10" s="162"/>
      <c r="B10" s="163">
        <v>45960</v>
      </c>
      <c r="C10" s="164" t="s">
        <v>165</v>
      </c>
      <c r="D10" s="167">
        <v>2522401112</v>
      </c>
      <c r="E10" s="165">
        <v>29620.240000000002</v>
      </c>
      <c r="F10" s="164"/>
      <c r="G10" s="164"/>
      <c r="H10" s="166" t="s">
        <v>214</v>
      </c>
    </row>
    <row r="12" spans="1:8" x14ac:dyDescent="0.35">
      <c r="A12" s="314" t="s">
        <v>213</v>
      </c>
      <c r="B12" s="315"/>
      <c r="C12" s="315"/>
      <c r="D12" s="315"/>
      <c r="E12" s="315"/>
      <c r="F12" s="315"/>
      <c r="G12" s="315"/>
      <c r="H12" s="316"/>
    </row>
    <row r="13" spans="1:8" x14ac:dyDescent="0.35">
      <c r="A13" s="162"/>
      <c r="B13" s="163">
        <v>45917</v>
      </c>
      <c r="C13" s="164" t="s">
        <v>165</v>
      </c>
      <c r="D13" s="159">
        <v>2522400958</v>
      </c>
      <c r="E13" s="165">
        <v>15447.61</v>
      </c>
      <c r="F13" s="164"/>
      <c r="G13" s="164"/>
      <c r="H13" s="166" t="s">
        <v>181</v>
      </c>
    </row>
    <row r="14" spans="1:8" x14ac:dyDescent="0.35">
      <c r="A14" s="162"/>
      <c r="B14" s="163">
        <v>45917</v>
      </c>
      <c r="C14" s="164" t="s">
        <v>165</v>
      </c>
      <c r="D14" s="159">
        <v>2522400959</v>
      </c>
      <c r="E14" s="165">
        <v>11254.52</v>
      </c>
      <c r="F14" s="164"/>
      <c r="G14" s="164"/>
      <c r="H14" s="166" t="s">
        <v>182</v>
      </c>
    </row>
    <row r="15" spans="1:8" x14ac:dyDescent="0.35">
      <c r="A15" s="162"/>
      <c r="B15" s="163">
        <v>45917</v>
      </c>
      <c r="C15" s="164" t="s">
        <v>165</v>
      </c>
      <c r="D15" s="159">
        <v>2522400957</v>
      </c>
      <c r="E15" s="165">
        <v>9441.92</v>
      </c>
      <c r="F15" s="164"/>
      <c r="G15" s="164"/>
      <c r="H15" s="166" t="s">
        <v>183</v>
      </c>
    </row>
    <row r="16" spans="1:8" x14ac:dyDescent="0.35">
      <c r="A16" s="317" t="s">
        <v>175</v>
      </c>
      <c r="B16" s="319">
        <v>45918</v>
      </c>
      <c r="C16" s="317" t="s">
        <v>165</v>
      </c>
      <c r="D16" s="321">
        <v>2522400951</v>
      </c>
      <c r="E16" s="323">
        <v>17794.310000000001</v>
      </c>
      <c r="F16" s="317" t="s">
        <v>166</v>
      </c>
      <c r="G16" s="317" t="s">
        <v>167</v>
      </c>
      <c r="H16" s="166" t="s">
        <v>176</v>
      </c>
    </row>
    <row r="17" spans="1:8" x14ac:dyDescent="0.35">
      <c r="A17" s="318"/>
      <c r="B17" s="320"/>
      <c r="C17" s="318"/>
      <c r="D17" s="322"/>
      <c r="E17" s="324"/>
      <c r="F17" s="318"/>
      <c r="G17" s="318"/>
      <c r="H17" s="166" t="s">
        <v>177</v>
      </c>
    </row>
    <row r="20" spans="1:8" x14ac:dyDescent="0.35">
      <c r="A20" s="314" t="s">
        <v>179</v>
      </c>
      <c r="B20" s="315"/>
      <c r="C20" s="315"/>
      <c r="D20" s="315"/>
      <c r="E20" s="315"/>
      <c r="F20" s="315"/>
      <c r="G20" s="315"/>
      <c r="H20" s="316"/>
    </row>
    <row r="21" spans="1:8" x14ac:dyDescent="0.35">
      <c r="A21" s="162"/>
      <c r="B21" s="163">
        <v>45960</v>
      </c>
      <c r="C21" s="164" t="s">
        <v>165</v>
      </c>
      <c r="D21" s="164">
        <v>2522401106</v>
      </c>
      <c r="E21" s="165">
        <v>132500</v>
      </c>
      <c r="F21" s="164"/>
      <c r="G21" s="164"/>
      <c r="H21" s="166" t="s">
        <v>180</v>
      </c>
    </row>
    <row r="24" spans="1:8" x14ac:dyDescent="0.35">
      <c r="C24" s="296">
        <v>45778</v>
      </c>
    </row>
    <row r="25" spans="1:8" x14ac:dyDescent="0.35">
      <c r="C25" s="296">
        <v>46874</v>
      </c>
    </row>
  </sheetData>
  <mergeCells count="12">
    <mergeCell ref="A12:H12"/>
    <mergeCell ref="A20:H20"/>
    <mergeCell ref="A1:H1"/>
    <mergeCell ref="A3:H3"/>
    <mergeCell ref="A7:H7"/>
    <mergeCell ref="A16:A17"/>
    <mergeCell ref="B16:B17"/>
    <mergeCell ref="C16:C17"/>
    <mergeCell ref="D16:D17"/>
    <mergeCell ref="E16:E17"/>
    <mergeCell ref="F16:F17"/>
    <mergeCell ref="G16:G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6BA0-F3E7-4217-AE33-173035C32D68}">
  <dimension ref="A1:Q22"/>
  <sheetViews>
    <sheetView zoomScale="90" zoomScaleNormal="90" workbookViewId="0">
      <selection sqref="A1:XFD1048576"/>
    </sheetView>
  </sheetViews>
  <sheetFormatPr defaultColWidth="8.81640625" defaultRowHeight="14.5" x14ac:dyDescent="0.35"/>
  <cols>
    <col min="1" max="1" width="8.54296875" style="64" bestFit="1" customWidth="1"/>
    <col min="2" max="2" width="27.1796875" style="171" customWidth="1"/>
    <col min="3" max="3" width="11.1796875" style="64" bestFit="1" customWidth="1"/>
    <col min="4" max="4" width="32.453125" style="171" customWidth="1"/>
    <col min="5" max="5" width="9.90625" style="171" bestFit="1" customWidth="1"/>
    <col min="6" max="6" width="11.81640625" style="64" bestFit="1" customWidth="1"/>
    <col min="7" max="7" width="8.6328125" style="171" bestFit="1" customWidth="1"/>
    <col min="8" max="8" width="8.6328125" style="171" hidden="1" customWidth="1"/>
    <col min="9" max="10" width="12.36328125" style="170" customWidth="1"/>
    <col min="11" max="11" width="11.1796875" style="170" bestFit="1" customWidth="1"/>
    <col min="12" max="13" width="10.81640625" style="170" bestFit="1" customWidth="1"/>
    <col min="14" max="15" width="10.1796875" style="170" bestFit="1" customWidth="1"/>
    <col min="16" max="16" width="18" style="171" bestFit="1" customWidth="1"/>
    <col min="17" max="17" width="11.1796875" style="171" bestFit="1" customWidth="1"/>
    <col min="18" max="16384" width="8.81640625" style="171"/>
  </cols>
  <sheetData>
    <row r="1" spans="1:17" ht="29" x14ac:dyDescent="0.35">
      <c r="A1" s="9" t="s">
        <v>185</v>
      </c>
      <c r="B1" s="9" t="s">
        <v>157</v>
      </c>
      <c r="C1" s="9" t="s">
        <v>158</v>
      </c>
      <c r="D1" s="9" t="s">
        <v>184</v>
      </c>
      <c r="E1" s="9" t="s">
        <v>156</v>
      </c>
      <c r="F1" s="9" t="s">
        <v>155</v>
      </c>
      <c r="G1" s="9" t="s">
        <v>186</v>
      </c>
      <c r="H1" s="9"/>
      <c r="I1" s="169" t="s">
        <v>187</v>
      </c>
      <c r="J1" s="169" t="s">
        <v>188</v>
      </c>
      <c r="K1" s="7" t="s">
        <v>189</v>
      </c>
      <c r="L1" s="7" t="s">
        <v>190</v>
      </c>
      <c r="M1" s="7"/>
      <c r="O1" s="7"/>
    </row>
    <row r="2" spans="1:17" ht="29" x14ac:dyDescent="0.35">
      <c r="A2" s="24">
        <v>2</v>
      </c>
      <c r="B2" s="150" t="s">
        <v>191</v>
      </c>
      <c r="C2" s="24">
        <v>3224250221</v>
      </c>
      <c r="D2" s="150" t="s">
        <v>194</v>
      </c>
      <c r="E2" s="172">
        <v>45740</v>
      </c>
      <c r="F2" s="24" t="s">
        <v>195</v>
      </c>
      <c r="G2" s="173">
        <f>255000</f>
        <v>255000</v>
      </c>
      <c r="H2" s="173">
        <f>G2*1.05</f>
        <v>267750</v>
      </c>
      <c r="I2" s="174">
        <f>SUM(K2:O2)</f>
        <v>178500</v>
      </c>
      <c r="J2" s="174">
        <f>G2-I2</f>
        <v>76500</v>
      </c>
      <c r="K2" s="7">
        <f>48000+54000</f>
        <v>102000</v>
      </c>
      <c r="L2" s="5">
        <f>40500+36000</f>
        <v>76500</v>
      </c>
      <c r="M2" s="7"/>
      <c r="O2" s="175"/>
    </row>
    <row r="3" spans="1:17" ht="29" x14ac:dyDescent="0.35">
      <c r="A3" s="24">
        <v>4</v>
      </c>
      <c r="B3" s="150" t="s">
        <v>191</v>
      </c>
      <c r="C3" s="24">
        <v>3224250888</v>
      </c>
      <c r="D3" s="175" t="s">
        <v>197</v>
      </c>
      <c r="E3" s="172">
        <v>46034</v>
      </c>
      <c r="F3" s="24" t="s">
        <v>118</v>
      </c>
      <c r="G3" s="173">
        <v>110000</v>
      </c>
      <c r="H3" s="173">
        <f>G3*1.05</f>
        <v>115500</v>
      </c>
      <c r="I3" s="174">
        <f>SUM(K3:O3)</f>
        <v>0</v>
      </c>
      <c r="J3" s="174">
        <f>G3-I3</f>
        <v>110000</v>
      </c>
      <c r="K3" s="5"/>
      <c r="L3" s="175"/>
      <c r="M3" s="5"/>
      <c r="O3" s="175"/>
    </row>
    <row r="4" spans="1:17" x14ac:dyDescent="0.35">
      <c r="A4" s="24"/>
      <c r="B4" s="175"/>
      <c r="C4" s="24"/>
      <c r="D4" s="175"/>
      <c r="E4" s="175"/>
      <c r="F4" s="24"/>
      <c r="G4" s="174"/>
      <c r="H4" s="174"/>
      <c r="I4" s="174"/>
      <c r="J4" s="174"/>
      <c r="K4" s="5"/>
      <c r="L4" s="175"/>
      <c r="M4" s="5"/>
      <c r="O4" s="175"/>
    </row>
    <row r="5" spans="1:17" x14ac:dyDescent="0.35">
      <c r="G5" s="176">
        <f>SUM(G2:G4)</f>
        <v>365000</v>
      </c>
      <c r="I5" s="176">
        <f>SUM(I2:I4)</f>
        <v>178500</v>
      </c>
      <c r="J5" s="176">
        <f>SUM(J2:J4)</f>
        <v>186500</v>
      </c>
      <c r="K5" s="176">
        <f>SUM(K2:K4)</f>
        <v>102000</v>
      </c>
      <c r="L5" s="176">
        <f>SUM(L2:L4)</f>
        <v>76500</v>
      </c>
    </row>
    <row r="7" spans="1:17" x14ac:dyDescent="0.35">
      <c r="C7" s="64" t="s">
        <v>159</v>
      </c>
      <c r="D7" s="171" t="s">
        <v>217</v>
      </c>
      <c r="E7" s="171" t="s">
        <v>218</v>
      </c>
      <c r="N7" s="170">
        <f>N14*0.85</f>
        <v>44200</v>
      </c>
      <c r="O7" s="170">
        <f>O14*0.85</f>
        <v>22100</v>
      </c>
    </row>
    <row r="8" spans="1:17" ht="87" x14ac:dyDescent="0.35">
      <c r="B8" s="151" t="s">
        <v>216</v>
      </c>
      <c r="C8" s="177">
        <v>260000</v>
      </c>
      <c r="K8" s="170">
        <f>K14*0.85</f>
        <v>22100</v>
      </c>
      <c r="L8" s="170">
        <f>L14*0.85</f>
        <v>66300</v>
      </c>
      <c r="M8" s="170">
        <f>M14*0.85</f>
        <v>66300</v>
      </c>
      <c r="N8" s="170">
        <f>N14*0.85</f>
        <v>44200</v>
      </c>
      <c r="O8" s="170">
        <f>O14*0.85</f>
        <v>22100</v>
      </c>
    </row>
    <row r="9" spans="1:17" x14ac:dyDescent="0.35">
      <c r="D9" s="170">
        <v>26000</v>
      </c>
      <c r="E9" s="178">
        <v>45639</v>
      </c>
      <c r="K9" s="179">
        <v>2025001003</v>
      </c>
      <c r="L9" s="179">
        <v>2025002005</v>
      </c>
      <c r="M9" s="179">
        <v>2025002005</v>
      </c>
    </row>
    <row r="10" spans="1:17" x14ac:dyDescent="0.35">
      <c r="D10" s="170">
        <v>78000</v>
      </c>
      <c r="E10" s="178">
        <v>45692</v>
      </c>
    </row>
    <row r="11" spans="1:17" x14ac:dyDescent="0.35">
      <c r="D11" s="170">
        <v>78000</v>
      </c>
      <c r="E11" s="178">
        <v>45776</v>
      </c>
    </row>
    <row r="12" spans="1:17" ht="14" customHeight="1" x14ac:dyDescent="0.35">
      <c r="D12" s="170">
        <v>52000</v>
      </c>
      <c r="E12" s="178">
        <v>45911</v>
      </c>
      <c r="K12" s="325" t="s">
        <v>189</v>
      </c>
      <c r="L12" s="326"/>
      <c r="M12" s="326"/>
      <c r="N12" s="327" t="s">
        <v>190</v>
      </c>
      <c r="O12" s="327"/>
    </row>
    <row r="13" spans="1:17" s="187" customFormat="1" ht="29" x14ac:dyDescent="0.35">
      <c r="A13" s="180">
        <v>3</v>
      </c>
      <c r="B13" s="181" t="s">
        <v>191</v>
      </c>
      <c r="C13" s="180">
        <v>3224251128</v>
      </c>
      <c r="D13" s="182" t="s">
        <v>196</v>
      </c>
      <c r="E13" s="183">
        <v>46031</v>
      </c>
      <c r="F13" s="180" t="s">
        <v>123</v>
      </c>
      <c r="G13" s="184">
        <v>610000</v>
      </c>
      <c r="H13" s="184">
        <f>G13*1.05</f>
        <v>640500</v>
      </c>
      <c r="I13" s="185">
        <f>SUM(K13:O13)</f>
        <v>0</v>
      </c>
      <c r="J13" s="185">
        <f>G13-I13</f>
        <v>610000</v>
      </c>
      <c r="K13" s="186"/>
      <c r="L13" s="186"/>
      <c r="M13" s="186"/>
      <c r="N13" s="181"/>
      <c r="O13" s="181"/>
      <c r="P13" s="187" t="s">
        <v>302</v>
      </c>
    </row>
    <row r="14" spans="1:17" ht="29" x14ac:dyDescent="0.35">
      <c r="A14" s="24">
        <v>1</v>
      </c>
      <c r="B14" s="150" t="s">
        <v>191</v>
      </c>
      <c r="C14" s="24">
        <v>3224000833</v>
      </c>
      <c r="D14" s="150" t="s">
        <v>192</v>
      </c>
      <c r="E14" s="172">
        <v>45624</v>
      </c>
      <c r="F14" s="24" t="s">
        <v>193</v>
      </c>
      <c r="G14" s="173">
        <v>260000</v>
      </c>
      <c r="H14" s="173">
        <f>G14*1.05</f>
        <v>273000</v>
      </c>
      <c r="I14" s="174">
        <f>SUM(K14:O14)</f>
        <v>260000</v>
      </c>
      <c r="J14" s="174">
        <f>G14-I14</f>
        <v>0</v>
      </c>
      <c r="K14" s="7">
        <v>26000</v>
      </c>
      <c r="L14" s="7">
        <v>78000</v>
      </c>
      <c r="M14" s="7">
        <v>78000</v>
      </c>
      <c r="N14" s="5">
        <v>52000</v>
      </c>
      <c r="O14" s="5">
        <v>26000</v>
      </c>
      <c r="Q14" s="45">
        <f>SUM(K14:M14)*0.85</f>
        <v>154700</v>
      </c>
    </row>
    <row r="15" spans="1:17" x14ac:dyDescent="0.35">
      <c r="C15" s="58"/>
      <c r="D15" s="58"/>
    </row>
    <row r="17" spans="3:4" x14ac:dyDescent="0.35">
      <c r="C17" s="2"/>
    </row>
    <row r="18" spans="3:4" x14ac:dyDescent="0.35">
      <c r="C18" s="177"/>
      <c r="D18" s="188"/>
    </row>
    <row r="19" spans="3:4" x14ac:dyDescent="0.35">
      <c r="C19" s="177"/>
      <c r="D19" s="188"/>
    </row>
    <row r="20" spans="3:4" x14ac:dyDescent="0.35">
      <c r="C20" s="177"/>
      <c r="D20" s="188"/>
    </row>
    <row r="22" spans="3:4" x14ac:dyDescent="0.35">
      <c r="C22" s="58"/>
    </row>
  </sheetData>
  <mergeCells count="2">
    <mergeCell ref="K12:M12"/>
    <mergeCell ref="N12:O12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932B-8AC2-45EE-94F1-BB8431FFF40C}">
  <dimension ref="A1:E11"/>
  <sheetViews>
    <sheetView workbookViewId="0">
      <selection sqref="A1:XFD1048576"/>
    </sheetView>
  </sheetViews>
  <sheetFormatPr defaultRowHeight="14.5" x14ac:dyDescent="0.35"/>
  <cols>
    <col min="1" max="1" width="24.453125" bestFit="1" customWidth="1"/>
    <col min="2" max="2" width="31.54296875" bestFit="1" customWidth="1"/>
    <col min="3" max="3" width="14" style="192" bestFit="1" customWidth="1"/>
    <col min="4" max="4" width="24.36328125" bestFit="1" customWidth="1"/>
    <col min="5" max="5" width="57" bestFit="1" customWidth="1"/>
  </cols>
  <sheetData>
    <row r="1" spans="1:5" s="4" customFormat="1" x14ac:dyDescent="0.35">
      <c r="A1" s="3" t="s">
        <v>229</v>
      </c>
      <c r="B1" s="3" t="s">
        <v>230</v>
      </c>
      <c r="C1" s="3" t="s">
        <v>231</v>
      </c>
      <c r="D1" s="3" t="s">
        <v>232</v>
      </c>
      <c r="E1" s="3" t="s">
        <v>233</v>
      </c>
    </row>
    <row r="2" spans="1:5" x14ac:dyDescent="0.35">
      <c r="A2" s="28" t="s">
        <v>1</v>
      </c>
      <c r="B2" s="28" t="s">
        <v>234</v>
      </c>
      <c r="C2" s="20" t="s">
        <v>235</v>
      </c>
      <c r="D2" s="189" t="s">
        <v>236</v>
      </c>
      <c r="E2" s="28" t="s">
        <v>237</v>
      </c>
    </row>
    <row r="3" spans="1:5" x14ac:dyDescent="0.35">
      <c r="A3" s="28" t="s">
        <v>256</v>
      </c>
      <c r="B3" s="28" t="s">
        <v>257</v>
      </c>
      <c r="C3" s="20" t="s">
        <v>259</v>
      </c>
      <c r="D3" s="189" t="s">
        <v>258</v>
      </c>
      <c r="E3" s="28" t="s">
        <v>279</v>
      </c>
    </row>
    <row r="4" spans="1:5" x14ac:dyDescent="0.35">
      <c r="A4" s="28" t="s">
        <v>248</v>
      </c>
      <c r="B4" s="28" t="s">
        <v>249</v>
      </c>
      <c r="C4" s="20" t="s">
        <v>250</v>
      </c>
      <c r="D4" s="190" t="s">
        <v>251</v>
      </c>
      <c r="E4" s="28" t="s">
        <v>252</v>
      </c>
    </row>
    <row r="5" spans="1:5" x14ac:dyDescent="0.35">
      <c r="A5" s="191" t="s">
        <v>245</v>
      </c>
      <c r="B5" s="28" t="s">
        <v>238</v>
      </c>
      <c r="C5" s="20" t="s">
        <v>247</v>
      </c>
      <c r="D5" s="189" t="s">
        <v>239</v>
      </c>
      <c r="E5" s="28" t="s">
        <v>240</v>
      </c>
    </row>
    <row r="6" spans="1:5" x14ac:dyDescent="0.35">
      <c r="A6" s="28" t="s">
        <v>264</v>
      </c>
      <c r="B6" s="28" t="s">
        <v>265</v>
      </c>
      <c r="C6" s="20" t="s">
        <v>267</v>
      </c>
      <c r="D6" s="189" t="s">
        <v>266</v>
      </c>
      <c r="E6" s="28" t="s">
        <v>280</v>
      </c>
    </row>
    <row r="7" spans="1:5" x14ac:dyDescent="0.35">
      <c r="A7" s="28" t="s">
        <v>242</v>
      </c>
      <c r="B7" s="28" t="s">
        <v>243</v>
      </c>
      <c r="C7" s="20" t="s">
        <v>246</v>
      </c>
      <c r="D7" s="189" t="s">
        <v>241</v>
      </c>
      <c r="E7" s="28" t="s">
        <v>244</v>
      </c>
    </row>
    <row r="8" spans="1:5" x14ac:dyDescent="0.35">
      <c r="A8" s="28" t="s">
        <v>253</v>
      </c>
      <c r="B8" s="28" t="s">
        <v>254</v>
      </c>
      <c r="C8" s="20" t="s">
        <v>281</v>
      </c>
      <c r="D8" s="189" t="s">
        <v>255</v>
      </c>
      <c r="E8" s="28" t="s">
        <v>276</v>
      </c>
    </row>
    <row r="9" spans="1:5" x14ac:dyDescent="0.35">
      <c r="A9" s="28" t="s">
        <v>260</v>
      </c>
      <c r="B9" s="28" t="s">
        <v>261</v>
      </c>
      <c r="C9" s="20" t="s">
        <v>263</v>
      </c>
      <c r="D9" s="189" t="s">
        <v>262</v>
      </c>
      <c r="E9" s="28" t="s">
        <v>276</v>
      </c>
    </row>
    <row r="10" spans="1:5" x14ac:dyDescent="0.35">
      <c r="A10" s="28" t="s">
        <v>268</v>
      </c>
      <c r="B10" s="28" t="s">
        <v>269</v>
      </c>
      <c r="C10" s="20" t="s">
        <v>270</v>
      </c>
      <c r="D10" s="189" t="s">
        <v>271</v>
      </c>
      <c r="E10" s="28" t="s">
        <v>277</v>
      </c>
    </row>
    <row r="11" spans="1:5" x14ac:dyDescent="0.35">
      <c r="A11" s="28" t="s">
        <v>272</v>
      </c>
      <c r="B11" s="28" t="s">
        <v>273</v>
      </c>
      <c r="C11" s="20" t="s">
        <v>274</v>
      </c>
      <c r="D11" s="189" t="s">
        <v>275</v>
      </c>
      <c r="E11" s="28" t="s">
        <v>278</v>
      </c>
    </row>
  </sheetData>
  <hyperlinks>
    <hyperlink ref="D2" r:id="rId1" xr:uid="{12252964-54CC-4E93-BEE4-54D779BCAA53}"/>
    <hyperlink ref="D5" r:id="rId2" xr:uid="{5C4194DF-9774-41C1-8557-A9A11A150E00}"/>
    <hyperlink ref="D7" r:id="rId3" xr:uid="{3D073A76-C66F-4DA8-B835-ABF3E86DF891}"/>
    <hyperlink ref="D4" r:id="rId4" xr:uid="{7B6421F9-3BD9-49EE-80C8-0B7FAA43E6B6}"/>
    <hyperlink ref="D8" r:id="rId5" xr:uid="{1FCB1E13-3F70-4C13-8D72-9ED29F91FC36}"/>
    <hyperlink ref="D3" r:id="rId6" xr:uid="{16232945-EF5D-46D5-9412-ACD03EEDB4E2}"/>
    <hyperlink ref="D9" r:id="rId7" xr:uid="{84425920-D36D-44CA-92A6-45406376EDB0}"/>
    <hyperlink ref="D6" r:id="rId8" xr:uid="{8BA24EDE-3ED8-4E1A-9271-D52F8716F37C}"/>
    <hyperlink ref="D10" r:id="rId9" xr:uid="{646267B0-6819-4B77-9997-275684E51E1B}"/>
    <hyperlink ref="D11" r:id="rId10" xr:uid="{526E604C-99C8-4E4F-B262-7530363ECC4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82E9-3897-4611-BA90-12CE4D24D59D}">
  <dimension ref="A1:H20"/>
  <sheetViews>
    <sheetView workbookViewId="0">
      <selection activeCell="H19" sqref="H19"/>
    </sheetView>
  </sheetViews>
  <sheetFormatPr defaultColWidth="8.81640625" defaultRowHeight="14.5" x14ac:dyDescent="0.35"/>
  <cols>
    <col min="1" max="1" width="14" style="171" bestFit="1" customWidth="1"/>
    <col min="2" max="2" width="23.81640625" style="171" bestFit="1" customWidth="1"/>
    <col min="3" max="3" width="11.90625" style="171" bestFit="1" customWidth="1"/>
    <col min="4" max="4" width="9.08984375" style="171" bestFit="1" customWidth="1"/>
    <col min="5" max="5" width="10.08984375" style="171" bestFit="1" customWidth="1"/>
    <col min="6" max="6" width="9.08984375" style="171" bestFit="1" customWidth="1"/>
    <col min="7" max="8" width="10.08984375" style="171" bestFit="1" customWidth="1"/>
    <col min="9" max="16384" width="8.81640625" style="171"/>
  </cols>
  <sheetData>
    <row r="1" spans="1:6" x14ac:dyDescent="0.35">
      <c r="A1" s="6" t="s">
        <v>288</v>
      </c>
      <c r="B1" s="6" t="s">
        <v>291</v>
      </c>
      <c r="C1" s="6"/>
      <c r="D1" s="6"/>
      <c r="E1" s="6"/>
    </row>
    <row r="2" spans="1:6" s="10" customFormat="1" x14ac:dyDescent="0.35">
      <c r="A2" s="9" t="s">
        <v>292</v>
      </c>
      <c r="B2" s="9" t="s">
        <v>293</v>
      </c>
      <c r="C2" s="9" t="s">
        <v>65</v>
      </c>
      <c r="D2" s="9" t="s">
        <v>289</v>
      </c>
      <c r="E2" s="9" t="s">
        <v>290</v>
      </c>
    </row>
    <row r="3" spans="1:6" x14ac:dyDescent="0.35">
      <c r="A3" s="172">
        <v>45870</v>
      </c>
      <c r="B3" s="172">
        <v>45900</v>
      </c>
      <c r="C3" s="11">
        <v>51840</v>
      </c>
      <c r="D3" s="11">
        <v>6220.8</v>
      </c>
      <c r="E3" s="11">
        <v>45619.199999999997</v>
      </c>
    </row>
    <row r="4" spans="1:6" x14ac:dyDescent="0.35">
      <c r="A4" s="172">
        <v>45901</v>
      </c>
      <c r="B4" s="172">
        <v>45930</v>
      </c>
      <c r="C4" s="11"/>
      <c r="D4" s="11"/>
      <c r="E4" s="11"/>
    </row>
    <row r="5" spans="1:6" x14ac:dyDescent="0.35">
      <c r="A5" s="172">
        <v>45931</v>
      </c>
      <c r="B5" s="172">
        <v>45961</v>
      </c>
      <c r="C5" s="11"/>
      <c r="D5" s="11"/>
      <c r="E5" s="11"/>
    </row>
    <row r="6" spans="1:6" x14ac:dyDescent="0.35">
      <c r="A6" s="172">
        <v>45962</v>
      </c>
      <c r="B6" s="172">
        <v>45991</v>
      </c>
      <c r="C6" s="11"/>
      <c r="D6" s="11"/>
      <c r="E6" s="11"/>
    </row>
    <row r="7" spans="1:6" x14ac:dyDescent="0.35">
      <c r="A7" s="172">
        <v>45992</v>
      </c>
      <c r="B7" s="172">
        <v>46022</v>
      </c>
      <c r="C7" s="11"/>
      <c r="D7" s="11"/>
      <c r="E7" s="11"/>
    </row>
    <row r="8" spans="1:6" x14ac:dyDescent="0.35">
      <c r="A8" s="172">
        <v>46023</v>
      </c>
      <c r="B8" s="172">
        <v>46053</v>
      </c>
      <c r="C8" s="11"/>
      <c r="D8" s="11"/>
      <c r="E8" s="11"/>
      <c r="F8" s="193"/>
    </row>
    <row r="9" spans="1:6" x14ac:dyDescent="0.35">
      <c r="A9" s="172">
        <v>46054</v>
      </c>
      <c r="B9" s="172">
        <v>46081</v>
      </c>
      <c r="C9" s="5">
        <v>8640</v>
      </c>
      <c r="D9" s="5"/>
      <c r="E9" s="5"/>
    </row>
    <row r="10" spans="1:6" x14ac:dyDescent="0.35">
      <c r="A10" s="172">
        <v>46082</v>
      </c>
      <c r="B10" s="172">
        <v>46112</v>
      </c>
      <c r="C10" s="5">
        <v>8640</v>
      </c>
      <c r="D10" s="5"/>
      <c r="E10" s="5"/>
    </row>
    <row r="11" spans="1:6" x14ac:dyDescent="0.35">
      <c r="A11" s="172">
        <v>46113</v>
      </c>
      <c r="B11" s="172">
        <v>46142</v>
      </c>
      <c r="C11" s="5">
        <v>8640</v>
      </c>
      <c r="D11" s="5"/>
      <c r="E11" s="5"/>
    </row>
    <row r="12" spans="1:6" x14ac:dyDescent="0.35">
      <c r="A12" s="172">
        <v>46143</v>
      </c>
      <c r="B12" s="172">
        <v>46173</v>
      </c>
      <c r="C12" s="5">
        <v>8640</v>
      </c>
      <c r="D12" s="5"/>
      <c r="E12" s="5"/>
    </row>
    <row r="13" spans="1:6" x14ac:dyDescent="0.35">
      <c r="A13" s="172">
        <v>46174</v>
      </c>
      <c r="B13" s="172">
        <v>46203</v>
      </c>
      <c r="C13" s="5">
        <v>8640</v>
      </c>
      <c r="D13" s="5"/>
      <c r="E13" s="5"/>
    </row>
    <row r="14" spans="1:6" x14ac:dyDescent="0.35">
      <c r="A14" s="172">
        <v>46204</v>
      </c>
      <c r="B14" s="172">
        <v>46234</v>
      </c>
      <c r="C14" s="5">
        <v>8640</v>
      </c>
      <c r="D14" s="5"/>
      <c r="E14" s="5"/>
    </row>
    <row r="15" spans="1:6" x14ac:dyDescent="0.35">
      <c r="A15" s="175"/>
      <c r="B15" s="175"/>
      <c r="C15" s="5"/>
      <c r="D15" s="5"/>
      <c r="E15" s="5"/>
    </row>
    <row r="16" spans="1:6" s="8" customFormat="1" x14ac:dyDescent="0.35">
      <c r="A16" s="6"/>
      <c r="B16" s="6"/>
      <c r="C16" s="7">
        <f>SUM(C3:C15)</f>
        <v>103680</v>
      </c>
      <c r="D16" s="7"/>
      <c r="E16" s="7"/>
    </row>
    <row r="19" spans="6:8" x14ac:dyDescent="0.35">
      <c r="F19" s="168">
        <v>4166.67</v>
      </c>
      <c r="G19" s="170">
        <f>F19*12</f>
        <v>50000.04</v>
      </c>
      <c r="H19" s="45">
        <f>G19/4</f>
        <v>12500.01</v>
      </c>
    </row>
    <row r="20" spans="6:8" x14ac:dyDescent="0.35">
      <c r="F20" s="170">
        <v>2000</v>
      </c>
      <c r="G20" s="170">
        <f>F20*12</f>
        <v>24000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0CFE039BE6884D9690DA778CDEB9CF" ma:contentTypeVersion="18" ma:contentTypeDescription="Create a new document." ma:contentTypeScope="" ma:versionID="1d9335e1554b2cceb86f61267c799f41">
  <xsd:schema xmlns:xsd="http://www.w3.org/2001/XMLSchema" xmlns:xs="http://www.w3.org/2001/XMLSchema" xmlns:p="http://schemas.microsoft.com/office/2006/metadata/properties" xmlns:ns2="7fbaac5e-c061-4691-9e84-004ffd7a5b49" xmlns:ns3="8140d0c0-df71-4078-8315-5ecc5a0add9f" targetNamespace="http://schemas.microsoft.com/office/2006/metadata/properties" ma:root="true" ma:fieldsID="15b62ef85efeece3d4f06f81dcc5e590" ns2:_="" ns3:_="">
    <xsd:import namespace="7fbaac5e-c061-4691-9e84-004ffd7a5b49"/>
    <xsd:import namespace="8140d0c0-df71-4078-8315-5ecc5a0add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aac5e-c061-4691-9e84-004ffd7a5b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5500016-2172-499b-8011-de716089de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0d0c0-df71-4078-8315-5ecc5a0add9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4d9187d-a917-4975-b7e5-c36ed03d3fe3}" ma:internalName="TaxCatchAll" ma:showField="CatchAllData" ma:web="8140d0c0-df71-4078-8315-5ecc5a0add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baac5e-c061-4691-9e84-004ffd7a5b49">
      <Terms xmlns="http://schemas.microsoft.com/office/infopath/2007/PartnerControls"/>
    </lcf76f155ced4ddcb4097134ff3c332f>
    <TaxCatchAll xmlns="8140d0c0-df71-4078-8315-5ecc5a0add9f" xsi:nil="true"/>
    <SharedWithUsers xmlns="8140d0c0-df71-4078-8315-5ecc5a0add9f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E0AF7E-7D28-40B3-8A38-DB308933BD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aac5e-c061-4691-9e84-004ffd7a5b49"/>
    <ds:schemaRef ds:uri="8140d0c0-df71-4078-8315-5ecc5a0add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055022-4817-48DC-B56B-D5AEDC48BD37}">
  <ds:schemaRefs>
    <ds:schemaRef ds:uri="http://schemas.microsoft.com/office/2006/metadata/properties"/>
    <ds:schemaRef ds:uri="http://schemas.microsoft.com/office/infopath/2007/PartnerControls"/>
    <ds:schemaRef ds:uri="7fbaac5e-c061-4691-9e84-004ffd7a5b49"/>
    <ds:schemaRef ds:uri="8140d0c0-df71-4078-8315-5ecc5a0add9f"/>
  </ds:schemaRefs>
</ds:datastoreItem>
</file>

<file path=customXml/itemProps3.xml><?xml version="1.0" encoding="utf-8"?>
<ds:datastoreItem xmlns:ds="http://schemas.openxmlformats.org/officeDocument/2006/customXml" ds:itemID="{A7E192FE-FA6A-4F55-9274-91F3F18BAAD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9f6e19a-3fb7-4f03-9a61-ceba92741d0d}" enabled="1" method="Privileged" siteId="{61517648-4362-45fe-9392-6659d4aa14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Booking &amp; Billing Forecast</vt:lpstr>
      <vt:lpstr>Opportunity Tracker</vt:lpstr>
      <vt:lpstr>ET</vt:lpstr>
      <vt:lpstr>Morohub</vt:lpstr>
      <vt:lpstr>Reem Mall</vt:lpstr>
      <vt:lpstr>Arenco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Gandhi</dc:creator>
  <cp:keywords/>
  <dc:description/>
  <cp:lastModifiedBy>Amit Gandhi</cp:lastModifiedBy>
  <cp:revision/>
  <dcterms:created xsi:type="dcterms:W3CDTF">2021-06-03T05:58:54Z</dcterms:created>
  <dcterms:modified xsi:type="dcterms:W3CDTF">2026-04-23T09:43:24Z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0x010100D30CFE039BE6884D9690DA778CDEB9CF</vt:lpwstr>
  </property>
  <property fmtid="{D5CDD505-2E9C-101B-9397-08002B2CF9AE}" pid="3" name="Order">
    <vt:r8>18000</vt:r8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
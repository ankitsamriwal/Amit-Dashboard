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phadxbae-my.sharepoint.com/personal/ankit_alphadxb_com/Documents/Documents/Ankit Transfer/AI Adoption/Amit/Amit Tracker/Dashboard/"/>
    </mc:Choice>
  </mc:AlternateContent>
  <xr:revisionPtr revIDLastSave="1060" documentId="13_ncr:1_{75A0B20C-3F88-48F0-AE0B-9CA8E1D3972E}" xr6:coauthVersionLast="47" xr6:coauthVersionMax="47" xr10:uidLastSave="{CE9E79DD-0E60-4BEC-B7D5-C7C78E8E2E44}"/>
  <bookViews>
    <workbookView xWindow="-108" yWindow="-108" windowWidth="23256" windowHeight="12456" tabRatio="532" activeTab="2" xr2:uid="{00000000-000D-0000-FFFF-FFFF00000000}"/>
  </bookViews>
  <sheets>
    <sheet name="Summary" sheetId="3" r:id="rId1"/>
    <sheet name="Booking &amp; Billing Forecast" sheetId="5" r:id="rId2"/>
    <sheet name="Opportunity Tracker" sheetId="6" r:id="rId3"/>
  </sheets>
  <definedNames>
    <definedName name="_xlnm._FilterDatabase" localSheetId="1" hidden="1">'Booking &amp; Billing Forecast'!$A$1:$AZ$52</definedName>
    <definedName name="_xlnm._FilterDatabase" localSheetId="2" hidden="1">'Opportunity Tracker'!$A$1:$L$22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0" i="5" l="1"/>
  <c r="L50" i="5"/>
  <c r="I50" i="5"/>
  <c r="AE49" i="5"/>
  <c r="AD49" i="5"/>
  <c r="AC49" i="5"/>
  <c r="J22" i="6"/>
  <c r="K22" i="6" s="1"/>
  <c r="J21" i="6"/>
  <c r="K21" i="6" s="1"/>
  <c r="J20" i="6"/>
  <c r="K20" i="6" s="1"/>
  <c r="J19" i="6"/>
  <c r="K19" i="6" s="1"/>
  <c r="J18" i="6"/>
  <c r="K18" i="6" s="1"/>
  <c r="I49" i="5"/>
  <c r="I47" i="5"/>
  <c r="AB46" i="5"/>
  <c r="Z46" i="5"/>
  <c r="I46" i="5"/>
  <c r="X45" i="5" l="1"/>
  <c r="X48" i="5"/>
  <c r="X20" i="5"/>
  <c r="J4" i="6"/>
  <c r="K4" i="6" s="1"/>
  <c r="AB11" i="5" l="1"/>
  <c r="AA11" i="5"/>
  <c r="Z11" i="5"/>
  <c r="U42" i="5" l="1"/>
  <c r="I44" i="5"/>
  <c r="I43" i="5"/>
  <c r="L43" i="5" s="1"/>
  <c r="M43" i="5" s="1"/>
  <c r="L42" i="5"/>
  <c r="M42" i="5" s="1"/>
  <c r="I41" i="5" l="1"/>
  <c r="L41" i="5" s="1"/>
  <c r="M41" i="5" s="1"/>
  <c r="I40" i="5" l="1"/>
  <c r="I39" i="5"/>
  <c r="L39" i="5" s="1"/>
  <c r="M39" i="5" s="1"/>
  <c r="T27" i="5"/>
  <c r="U26" i="5"/>
  <c r="T26" i="5"/>
  <c r="U25" i="5"/>
  <c r="T25" i="5"/>
  <c r="U24" i="5"/>
  <c r="T24" i="5"/>
  <c r="I38" i="5"/>
  <c r="L38" i="5" s="1"/>
  <c r="M38" i="5" s="1"/>
  <c r="L40" i="5" l="1"/>
  <c r="M40" i="5" s="1"/>
  <c r="I37" i="5"/>
  <c r="I35" i="5"/>
  <c r="L35" i="5" s="1"/>
  <c r="T20" i="5"/>
  <c r="U20" i="5"/>
  <c r="L36" i="5"/>
  <c r="M36" i="5" s="1"/>
  <c r="I3" i="5"/>
  <c r="L37" i="5" l="1"/>
  <c r="M37" i="5" s="1"/>
  <c r="M35" i="5"/>
  <c r="E6" i="3"/>
  <c r="C37" i="3"/>
  <c r="L25" i="3"/>
  <c r="L24" i="3"/>
  <c r="L23" i="3"/>
  <c r="L22" i="3"/>
  <c r="L21" i="3"/>
  <c r="L20" i="3"/>
  <c r="L19" i="3"/>
  <c r="L18" i="3"/>
  <c r="L17" i="3"/>
  <c r="L16" i="3"/>
  <c r="E8" i="3" s="1"/>
  <c r="L15" i="3"/>
  <c r="L14" i="3"/>
  <c r="G6" i="3"/>
  <c r="C6" i="3"/>
  <c r="G14" i="3"/>
  <c r="H14" i="3"/>
  <c r="C7" i="3" s="1"/>
  <c r="E36" i="3"/>
  <c r="C36" i="3"/>
  <c r="I4" i="5"/>
  <c r="M4" i="5" s="1"/>
  <c r="H17" i="3"/>
  <c r="E25" i="3"/>
  <c r="E24" i="3"/>
  <c r="E23" i="3"/>
  <c r="E22" i="3"/>
  <c r="E21" i="3"/>
  <c r="E20" i="3"/>
  <c r="E19" i="3"/>
  <c r="D25" i="3"/>
  <c r="D24" i="3"/>
  <c r="D23" i="3"/>
  <c r="D22" i="3"/>
  <c r="D21" i="3"/>
  <c r="D20" i="3"/>
  <c r="D19" i="3"/>
  <c r="C25" i="3"/>
  <c r="C24" i="3"/>
  <c r="C23" i="3"/>
  <c r="C22" i="3"/>
  <c r="C21" i="3"/>
  <c r="C20" i="3"/>
  <c r="C19" i="3"/>
  <c r="C18" i="3"/>
  <c r="C17" i="3"/>
  <c r="C16" i="3"/>
  <c r="C15" i="3"/>
  <c r="C14" i="3"/>
  <c r="E35" i="3"/>
  <c r="D35" i="3"/>
  <c r="C35" i="3"/>
  <c r="C34" i="3"/>
  <c r="C33" i="3"/>
  <c r="C32" i="3"/>
  <c r="C31" i="3"/>
  <c r="J3" i="6"/>
  <c r="K3" i="6" s="1"/>
  <c r="E34" i="3" s="1"/>
  <c r="D36" i="3"/>
  <c r="J5" i="6"/>
  <c r="K5" i="6" s="1"/>
  <c r="J6" i="6"/>
  <c r="K6" i="6" s="1"/>
  <c r="J7" i="6"/>
  <c r="K7" i="6" s="1"/>
  <c r="J8" i="6"/>
  <c r="K8" i="6" s="1"/>
  <c r="J9" i="6"/>
  <c r="K9" i="6" s="1"/>
  <c r="J10" i="6"/>
  <c r="K10" i="6" s="1"/>
  <c r="J11" i="6"/>
  <c r="K11" i="6" s="1"/>
  <c r="J12" i="6"/>
  <c r="K12" i="6" s="1"/>
  <c r="J13" i="6"/>
  <c r="K13" i="6" s="1"/>
  <c r="J14" i="6"/>
  <c r="K14" i="6" s="1"/>
  <c r="J15" i="6"/>
  <c r="K15" i="6" s="1"/>
  <c r="J16" i="6"/>
  <c r="K16" i="6" s="1"/>
  <c r="J17" i="6"/>
  <c r="J2" i="6"/>
  <c r="K2" i="6" s="1"/>
  <c r="I5" i="5"/>
  <c r="L5" i="5" s="1"/>
  <c r="I6" i="5"/>
  <c r="L6" i="5" s="1"/>
  <c r="I7" i="5"/>
  <c r="L7" i="5" s="1"/>
  <c r="I8" i="5"/>
  <c r="L8" i="5" s="1"/>
  <c r="I9" i="5"/>
  <c r="L9" i="5" s="1"/>
  <c r="I10" i="5"/>
  <c r="I11" i="5"/>
  <c r="L11" i="5" s="1"/>
  <c r="I12" i="5"/>
  <c r="L12" i="5" s="1"/>
  <c r="I13" i="5"/>
  <c r="L13" i="5" s="1"/>
  <c r="I14" i="5"/>
  <c r="I15" i="5"/>
  <c r="L15" i="5" s="1"/>
  <c r="M15" i="5" s="1"/>
  <c r="I16" i="5"/>
  <c r="I17" i="5"/>
  <c r="I18" i="5"/>
  <c r="L18" i="5" s="1"/>
  <c r="I19" i="5"/>
  <c r="I20" i="5"/>
  <c r="I21" i="5"/>
  <c r="I22" i="5"/>
  <c r="L22" i="5" s="1"/>
  <c r="I23" i="5"/>
  <c r="I24" i="5"/>
  <c r="I25" i="5"/>
  <c r="I26" i="5"/>
  <c r="I27" i="5"/>
  <c r="I28" i="5"/>
  <c r="I29" i="5"/>
  <c r="L29" i="5" s="1"/>
  <c r="M29" i="5" s="1"/>
  <c r="I30" i="5"/>
  <c r="L30" i="5" s="1"/>
  <c r="M30" i="5" s="1"/>
  <c r="I31" i="5"/>
  <c r="L31" i="5" s="1"/>
  <c r="M31" i="5" s="1"/>
  <c r="I32" i="5"/>
  <c r="L32" i="5" s="1"/>
  <c r="M32" i="5" s="1"/>
  <c r="I33" i="5"/>
  <c r="L33" i="5" s="1"/>
  <c r="I34" i="5"/>
  <c r="L3" i="5"/>
  <c r="M3" i="5" s="1"/>
  <c r="E7" i="3" l="1"/>
  <c r="E9" i="3" s="1"/>
  <c r="E10" i="3" s="1"/>
  <c r="E32" i="3"/>
  <c r="D31" i="3"/>
  <c r="E31" i="3"/>
  <c r="L28" i="5"/>
  <c r="M28" i="5" s="1"/>
  <c r="D14" i="3"/>
  <c r="E17" i="3"/>
  <c r="D18" i="3"/>
  <c r="E18" i="3"/>
  <c r="D15" i="3"/>
  <c r="D17" i="3"/>
  <c r="D37" i="3"/>
  <c r="E37" i="3"/>
  <c r="E33" i="3"/>
  <c r="L26" i="3"/>
  <c r="K15" i="3"/>
  <c r="M15" i="3" s="1"/>
  <c r="N15" i="3" s="1"/>
  <c r="K16" i="3"/>
  <c r="M16" i="3" s="1"/>
  <c r="N16" i="3" s="1"/>
  <c r="K17" i="3"/>
  <c r="M17" i="3" s="1"/>
  <c r="N17" i="3" s="1"/>
  <c r="K23" i="3"/>
  <c r="M23" i="3" s="1"/>
  <c r="N23" i="3" s="1"/>
  <c r="K24" i="3"/>
  <c r="M24" i="3" s="1"/>
  <c r="N24" i="3" s="1"/>
  <c r="K25" i="3"/>
  <c r="M25" i="3" s="1"/>
  <c r="N25" i="3" s="1"/>
  <c r="K18" i="3"/>
  <c r="M18" i="3" s="1"/>
  <c r="N18" i="3" s="1"/>
  <c r="K19" i="3"/>
  <c r="M19" i="3" s="1"/>
  <c r="N19" i="3" s="1"/>
  <c r="K20" i="3"/>
  <c r="M20" i="3" s="1"/>
  <c r="N20" i="3" s="1"/>
  <c r="K21" i="3"/>
  <c r="M21" i="3" s="1"/>
  <c r="N21" i="3" s="1"/>
  <c r="K14" i="3"/>
  <c r="M14" i="3" s="1"/>
  <c r="N14" i="3" s="1"/>
  <c r="K22" i="3"/>
  <c r="M22" i="3" s="1"/>
  <c r="N22" i="3" s="1"/>
  <c r="D16" i="3"/>
  <c r="L19" i="5"/>
  <c r="M9" i="5"/>
  <c r="L23" i="5"/>
  <c r="L34" i="5"/>
  <c r="M34" i="5" s="1"/>
  <c r="E15" i="3" s="1"/>
  <c r="E16" i="3"/>
  <c r="M33" i="5"/>
  <c r="D32" i="3"/>
  <c r="D34" i="3"/>
  <c r="D33" i="3"/>
  <c r="H15" i="3"/>
  <c r="C8" i="3" s="1"/>
  <c r="P25" i="3" l="1"/>
  <c r="P24" i="3"/>
  <c r="P23" i="3"/>
  <c r="P22" i="3"/>
  <c r="P21" i="3"/>
  <c r="P20" i="3"/>
  <c r="P19" i="3"/>
  <c r="P18" i="3"/>
  <c r="P17" i="3"/>
  <c r="P16" i="3"/>
  <c r="P15" i="3"/>
  <c r="P14" i="3"/>
  <c r="Q25" i="3" l="1"/>
  <c r="Q24" i="3"/>
  <c r="Q23" i="3"/>
  <c r="Q22" i="3"/>
  <c r="Q21" i="3"/>
  <c r="Q20" i="3"/>
  <c r="Q19" i="3"/>
  <c r="Q18" i="3"/>
  <c r="Q17" i="3"/>
  <c r="Q16" i="3"/>
  <c r="W20" i="3" s="1"/>
  <c r="G25" i="3"/>
  <c r="G24" i="3"/>
  <c r="G23" i="3"/>
  <c r="G22" i="3"/>
  <c r="G21" i="3"/>
  <c r="G20" i="3"/>
  <c r="G19" i="3"/>
  <c r="G18" i="3"/>
  <c r="G17" i="3"/>
  <c r="G16" i="3"/>
  <c r="G15" i="3"/>
  <c r="H25" i="3"/>
  <c r="H24" i="3"/>
  <c r="H23" i="3"/>
  <c r="H22" i="3"/>
  <c r="H21" i="3"/>
  <c r="H20" i="3"/>
  <c r="H19" i="3"/>
  <c r="H18" i="3"/>
  <c r="H16" i="3"/>
  <c r="Q14" i="3"/>
  <c r="V16" i="3" l="1"/>
  <c r="G8" i="3"/>
  <c r="Q15" i="3"/>
  <c r="V15" i="3" s="1"/>
  <c r="E14" i="3"/>
  <c r="I24" i="3"/>
  <c r="J24" i="3" s="1"/>
  <c r="R14" i="3"/>
  <c r="S14" i="3" s="1"/>
  <c r="I14" i="3"/>
  <c r="J14" i="3" s="1"/>
  <c r="G7" i="3" l="1"/>
  <c r="G9" i="3" s="1"/>
  <c r="G10" i="3" s="1"/>
  <c r="R22" i="3"/>
  <c r="S22" i="3" s="1"/>
  <c r="I19" i="3"/>
  <c r="J19" i="3" s="1"/>
  <c r="I18" i="3"/>
  <c r="J18" i="3" s="1"/>
  <c r="I20" i="3"/>
  <c r="J20" i="3" s="1"/>
  <c r="I16" i="3"/>
  <c r="J16" i="3" s="1"/>
  <c r="I23" i="3"/>
  <c r="J23" i="3" s="1"/>
  <c r="I21" i="3"/>
  <c r="J21" i="3" s="1"/>
  <c r="I15" i="3"/>
  <c r="J15" i="3" s="1"/>
  <c r="H26" i="3"/>
  <c r="I22" i="3"/>
  <c r="J22" i="3" s="1"/>
  <c r="I17" i="3"/>
  <c r="J17" i="3" s="1"/>
  <c r="R20" i="3"/>
  <c r="S20" i="3" s="1"/>
  <c r="R16" i="3"/>
  <c r="S16" i="3" s="1"/>
  <c r="R19" i="3"/>
  <c r="S19" i="3" s="1"/>
  <c r="R25" i="3"/>
  <c r="S25" i="3" s="1"/>
  <c r="R17" i="3"/>
  <c r="S17" i="3" s="1"/>
  <c r="R21" i="3"/>
  <c r="S21" i="3" s="1"/>
  <c r="R18" i="3"/>
  <c r="S18" i="3" s="1"/>
  <c r="R24" i="3"/>
  <c r="S24" i="3" s="1"/>
  <c r="I25" i="3"/>
  <c r="J25" i="3" s="1"/>
  <c r="R23" i="3"/>
  <c r="S23" i="3" s="1"/>
  <c r="R15" i="3"/>
  <c r="S15" i="3" s="1"/>
  <c r="E26" i="3" l="1"/>
  <c r="C26" i="3" l="1"/>
  <c r="D26" i="3" l="1"/>
  <c r="C9" i="3" l="1"/>
  <c r="C10" i="3" s="1"/>
  <c r="Q26" i="3"/>
</calcChain>
</file>

<file path=xl/sharedStrings.xml><?xml version="1.0" encoding="utf-8"?>
<sst xmlns="http://schemas.openxmlformats.org/spreadsheetml/2006/main" count="603" uniqueCount="245">
  <si>
    <t>Account Manager :--</t>
  </si>
  <si>
    <t>YTD Target</t>
  </si>
  <si>
    <t>Delta in %</t>
  </si>
  <si>
    <t>Opportunity Pipelines</t>
  </si>
  <si>
    <t>Top Line</t>
  </si>
  <si>
    <t>Lost</t>
  </si>
  <si>
    <t>Hold</t>
  </si>
  <si>
    <t>GP Value</t>
  </si>
  <si>
    <t>YTD Variance %</t>
  </si>
  <si>
    <t>Q1</t>
  </si>
  <si>
    <t>Q2</t>
  </si>
  <si>
    <t>Q3</t>
  </si>
  <si>
    <t>Q4</t>
  </si>
  <si>
    <t>Date</t>
  </si>
  <si>
    <t>Account Manager</t>
  </si>
  <si>
    <t>Billing Division</t>
  </si>
  <si>
    <t xml:space="preserve">Customer </t>
  </si>
  <si>
    <t>Project Description</t>
  </si>
  <si>
    <t>Project Type</t>
  </si>
  <si>
    <t>GP%</t>
  </si>
  <si>
    <t xml:space="preserve">Status </t>
  </si>
  <si>
    <t>Booking Month</t>
  </si>
  <si>
    <t>Vikas Invoice</t>
  </si>
  <si>
    <t>Jan-26</t>
  </si>
  <si>
    <t>Feb-26</t>
  </si>
  <si>
    <t>Mar-26</t>
  </si>
  <si>
    <t>Apr-26</t>
  </si>
  <si>
    <t>May-26</t>
  </si>
  <si>
    <t>Jun-26</t>
  </si>
  <si>
    <t>Aug-26</t>
  </si>
  <si>
    <t>Sept-26</t>
  </si>
  <si>
    <t>Oct-26</t>
  </si>
  <si>
    <t>Nov-26</t>
  </si>
  <si>
    <t>Dec-26</t>
  </si>
  <si>
    <t>MSDT</t>
  </si>
  <si>
    <t>Managed Services</t>
  </si>
  <si>
    <t>Jul-26</t>
  </si>
  <si>
    <t>Top Line Target</t>
  </si>
  <si>
    <t>Top Line Billing</t>
  </si>
  <si>
    <t>Top Line YTD Delta</t>
  </si>
  <si>
    <t>NP YTD Delta</t>
  </si>
  <si>
    <t>Top Line YTD Variance</t>
  </si>
  <si>
    <t>Delta</t>
  </si>
  <si>
    <t>NP Value</t>
  </si>
  <si>
    <t>Invoice Value</t>
  </si>
  <si>
    <t>NP Target</t>
  </si>
  <si>
    <t>NP Billing</t>
  </si>
  <si>
    <t>Division</t>
  </si>
  <si>
    <t>Proposal Value</t>
  </si>
  <si>
    <t xml:space="preserve"> GP Value</t>
  </si>
  <si>
    <t>Opportunity Summary</t>
  </si>
  <si>
    <t>Top Line Target 2026</t>
  </si>
  <si>
    <t>NP Target 2026</t>
  </si>
  <si>
    <t xml:space="preserve">Current Month Forecast </t>
  </si>
  <si>
    <t>Order Value</t>
  </si>
  <si>
    <t>Porposal Date</t>
  </si>
  <si>
    <t>Didn’t Participate</t>
  </si>
  <si>
    <t>Internal Team involved</t>
  </si>
  <si>
    <t>Payroll %</t>
  </si>
  <si>
    <t>Payroll Cost</t>
  </si>
  <si>
    <t>Yes</t>
  </si>
  <si>
    <t>Billing details</t>
  </si>
  <si>
    <t>Booking  details</t>
  </si>
  <si>
    <t>Acheived Till Date (previous month)</t>
  </si>
  <si>
    <t>[--- need to cange the respective month (Jan- 1, Feb- 2, Mar -3)</t>
  </si>
  <si>
    <t>No</t>
  </si>
  <si>
    <t>Presales</t>
  </si>
  <si>
    <t>GP</t>
  </si>
  <si>
    <t>GP Target</t>
  </si>
  <si>
    <t>GP Billing</t>
  </si>
  <si>
    <t>GP YTD Delta</t>
  </si>
  <si>
    <t>GP Target 2026</t>
  </si>
  <si>
    <t>{-- enter your targets</t>
  </si>
  <si>
    <t>Won Yet to be Booked in Vikas</t>
  </si>
  <si>
    <t>Booked in VIkas</t>
  </si>
  <si>
    <t>Mitesh</t>
  </si>
  <si>
    <t>Kotak Mahindra (UK) Ltd.</t>
  </si>
  <si>
    <t>Managed Services - Incident Pack</t>
  </si>
  <si>
    <t>DMT2500147</t>
  </si>
  <si>
    <t>Green Supplier Food Trading L.L.C</t>
  </si>
  <si>
    <t>Managed Services - NOC support</t>
  </si>
  <si>
    <t>DMT2500162</t>
  </si>
  <si>
    <t>Other Application</t>
  </si>
  <si>
    <t>Mitesh Sheth</t>
  </si>
  <si>
    <t>Sustainable Food Supplies</t>
  </si>
  <si>
    <t>Akhdar Trading</t>
  </si>
  <si>
    <t>Extended devices - Managed Services (NOC)</t>
  </si>
  <si>
    <t>Extended devices - ELV</t>
  </si>
  <si>
    <t>DMT2500263</t>
  </si>
  <si>
    <t>DMT2500265</t>
  </si>
  <si>
    <t>DMT2500262</t>
  </si>
  <si>
    <t>DMT2500267</t>
  </si>
  <si>
    <t>Juma Al Majid Holding</t>
  </si>
  <si>
    <t xml:space="preserve">AWS Hosting </t>
  </si>
  <si>
    <t>Cloud</t>
  </si>
  <si>
    <t>DCO2501292</t>
  </si>
  <si>
    <t>Inspire Group</t>
  </si>
  <si>
    <t xml:space="preserve">Atlantis </t>
  </si>
  <si>
    <t>Safanad</t>
  </si>
  <si>
    <t>Managed services</t>
  </si>
  <si>
    <t>Back to back support +Support (Onsite)</t>
  </si>
  <si>
    <t>Incident pack - Network</t>
  </si>
  <si>
    <t>Managed services - End user support</t>
  </si>
  <si>
    <t>DMT2500101</t>
  </si>
  <si>
    <t>DCO2504881 &amp; DMT2500163</t>
  </si>
  <si>
    <t>DMT2500099</t>
  </si>
  <si>
    <t>DMT2500086</t>
  </si>
  <si>
    <t>Teleperformance</t>
  </si>
  <si>
    <t>Rishabh</t>
  </si>
  <si>
    <t>KARM Advisory Management Consultancy LLC</t>
  </si>
  <si>
    <t>DMT2500124</t>
  </si>
  <si>
    <t>Sukoon Insurance</t>
  </si>
  <si>
    <t>Micro</t>
  </si>
  <si>
    <t>VDI Citrix AMC</t>
  </si>
  <si>
    <t>DMT2500149</t>
  </si>
  <si>
    <t>OilMar</t>
  </si>
  <si>
    <t>Hutchison Ajman International Terminals</t>
  </si>
  <si>
    <t>AIP for Data Protection</t>
  </si>
  <si>
    <t>Migration - M365 / Azure</t>
  </si>
  <si>
    <t>Security tools &amp; Services</t>
  </si>
  <si>
    <t>Fortinac licences &amp; implementation</t>
  </si>
  <si>
    <t>Microsoft</t>
  </si>
  <si>
    <t>Cybersecurity</t>
  </si>
  <si>
    <t>DCO2502558</t>
  </si>
  <si>
    <t>DCO2502566</t>
  </si>
  <si>
    <t>DCO2500019, DCO2500057, DCO2500060, DCO2500061</t>
  </si>
  <si>
    <t>Hutchison Ajman</t>
  </si>
  <si>
    <t>Infra Managed services</t>
  </si>
  <si>
    <t>Oracle forms &amp; PL/SQL development project (10 months) - Rafey</t>
  </si>
  <si>
    <t>12 digit HS Code CR</t>
  </si>
  <si>
    <t>DCO2506438</t>
  </si>
  <si>
    <t>DCO2507602</t>
  </si>
  <si>
    <t>DMT2500220, DMT2500221, DMT2500226, DMT2500227 &amp; DMT2500228</t>
  </si>
  <si>
    <t>Hutchison Logistics (Ajman Customs)</t>
  </si>
  <si>
    <t>EANAN Drones</t>
  </si>
  <si>
    <t>Green suppliers group companies</t>
  </si>
  <si>
    <t>OCR / RPA to automate the documentation process</t>
  </si>
  <si>
    <t>MDR Support</t>
  </si>
  <si>
    <t>DCO2308808</t>
  </si>
  <si>
    <t>DMT2500001</t>
  </si>
  <si>
    <t>DMT2400310</t>
  </si>
  <si>
    <t>DMT2400312</t>
  </si>
  <si>
    <t>DMT2400311</t>
  </si>
  <si>
    <t xml:space="preserve">Crescent Petroleum </t>
  </si>
  <si>
    <t>AD migration</t>
  </si>
  <si>
    <t>Palo Alto Renewal</t>
  </si>
  <si>
    <t>Network</t>
  </si>
  <si>
    <t>NW</t>
  </si>
  <si>
    <t>DCO2506767</t>
  </si>
  <si>
    <t>DCO2509214</t>
  </si>
  <si>
    <t>Oilmar</t>
  </si>
  <si>
    <t>Larsen Global</t>
  </si>
  <si>
    <t>Dynamics - Renewal</t>
  </si>
  <si>
    <t>Microsoft Licences</t>
  </si>
  <si>
    <t>DCO2510031</t>
  </si>
  <si>
    <t>DCO2509644</t>
  </si>
  <si>
    <t>Services - network</t>
  </si>
  <si>
    <t>MDR Services</t>
  </si>
  <si>
    <t>Dell VXRAIL (2025) - Pending to be billed</t>
  </si>
  <si>
    <t>Micro tasks transfer from Raj</t>
  </si>
  <si>
    <t>DCO2600119</t>
  </si>
  <si>
    <t>DCO2500343</t>
  </si>
  <si>
    <t>Fortinet - Renewal (Refresh Project)</t>
  </si>
  <si>
    <t>DCO2510060</t>
  </si>
  <si>
    <t xml:space="preserve">EANAN Drones &amp; Group companies </t>
  </si>
  <si>
    <t>Consolidated orders</t>
  </si>
  <si>
    <t>DCO2508573, DCO2600240, DCO2509572</t>
  </si>
  <si>
    <t>Managed Services - UAE</t>
  </si>
  <si>
    <t>DMT2600001 &amp; DMT2600002</t>
  </si>
  <si>
    <t>DMT2500125</t>
  </si>
  <si>
    <t>DMT2500293</t>
  </si>
  <si>
    <t>Dell VXRAIL (2025-26)</t>
  </si>
  <si>
    <t>Veritas AMC</t>
  </si>
  <si>
    <t>FortiAnalyzer - Licences and services</t>
  </si>
  <si>
    <t>DCO2508141</t>
  </si>
  <si>
    <t>Emirates Transport</t>
  </si>
  <si>
    <t xml:space="preserve">Hutchison </t>
  </si>
  <si>
    <t>Environment Monitoring System</t>
  </si>
  <si>
    <t>Kotak Mahindra</t>
  </si>
  <si>
    <t>New office set up project</t>
  </si>
  <si>
    <t>Managed Services (KSA)</t>
  </si>
  <si>
    <t xml:space="preserve">Sukoon </t>
  </si>
  <si>
    <t>Network Support</t>
  </si>
  <si>
    <t>End user support</t>
  </si>
  <si>
    <t xml:space="preserve">Nestle </t>
  </si>
  <si>
    <t>ELV requirement - Board room</t>
  </si>
  <si>
    <t>Server support</t>
  </si>
  <si>
    <t>AD Upgrade</t>
  </si>
  <si>
    <t>Cisco Switches</t>
  </si>
  <si>
    <t>Mudhrastrec</t>
  </si>
  <si>
    <t>AD Migration</t>
  </si>
  <si>
    <t>Security+Managed services</t>
  </si>
  <si>
    <t>DCO2510176</t>
  </si>
  <si>
    <t>MS Licenses</t>
  </si>
  <si>
    <t>Ajman Municipality &amp; Planning</t>
  </si>
  <si>
    <t>Veeam support renewal</t>
  </si>
  <si>
    <t>Printer AMC</t>
  </si>
  <si>
    <t>DMT2500244</t>
  </si>
  <si>
    <t xml:space="preserve">DCO2503504 </t>
  </si>
  <si>
    <t>ELV</t>
  </si>
  <si>
    <t>Firewall Refresh project</t>
  </si>
  <si>
    <t>Refresh - EOL</t>
  </si>
  <si>
    <t>Muthu</t>
  </si>
  <si>
    <t>Saud</t>
  </si>
  <si>
    <t>Mohan</t>
  </si>
  <si>
    <t>Kumar</t>
  </si>
  <si>
    <t>April</t>
  </si>
  <si>
    <t>Fakeeh University Hospital</t>
  </si>
  <si>
    <t xml:space="preserve">Finance charges </t>
  </si>
  <si>
    <t xml:space="preserve">MS Licences </t>
  </si>
  <si>
    <t>DMT2600065</t>
  </si>
  <si>
    <t>Hutchison Port Umm Al Quwain</t>
  </si>
  <si>
    <t>Application Development &amp; Support (N)</t>
  </si>
  <si>
    <t>DCO2408429</t>
  </si>
  <si>
    <t>Hutchison UAQ</t>
  </si>
  <si>
    <t>DCO2503714</t>
  </si>
  <si>
    <t>Dot net developer tender (S)</t>
  </si>
  <si>
    <t>May</t>
  </si>
  <si>
    <t>100% Billing in 2026</t>
  </si>
  <si>
    <t>June</t>
  </si>
  <si>
    <t>Tentative month of closure</t>
  </si>
  <si>
    <t>Billing in 2026</t>
  </si>
  <si>
    <t xml:space="preserve">Sukoon Insurance </t>
  </si>
  <si>
    <t>Atlantis the Palm</t>
  </si>
  <si>
    <t>NOC Support + Back to back renewals</t>
  </si>
  <si>
    <t>Note to Pavi consider 100% book &amp; Bill before Dec 2026</t>
  </si>
  <si>
    <t>F5 Renewal</t>
  </si>
  <si>
    <t>BMS Masaood Insurance LLC</t>
  </si>
  <si>
    <t>Infrastructure set up</t>
  </si>
  <si>
    <t>Incident Pack</t>
  </si>
  <si>
    <t>Data center</t>
  </si>
  <si>
    <t>Green Suppliers &amp; Group companies</t>
  </si>
  <si>
    <t xml:space="preserve">Note to Pavi - Don’t factor </t>
  </si>
  <si>
    <t>HAJT</t>
  </si>
  <si>
    <t>HUAQ</t>
  </si>
  <si>
    <t>Firewall Refresh</t>
  </si>
  <si>
    <t>DCO2510195</t>
  </si>
  <si>
    <t>DCO2510203</t>
  </si>
  <si>
    <t>Kotak</t>
  </si>
  <si>
    <t>KMBL</t>
  </si>
  <si>
    <t>KMIL</t>
  </si>
  <si>
    <t>DCO2600486</t>
  </si>
  <si>
    <t>DCO2600443</t>
  </si>
  <si>
    <t>Digicert Licences</t>
  </si>
  <si>
    <t>DCO2602142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</si>
</sst>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[$-10000]dd/mm/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0"/>
      <name val="Calibri"/>
      <family val="2"/>
      <scheme val="minor"/>
    </font>
    <font>
      <b/>
      <sz val="14"/>
      <color theme="1"/>
      <name val="Aptos Narrow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FF0000"/>
      <name val="Aptos Narrow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ptos Narrow"/>
      <family val="2"/>
    </font>
    <font>
      <sz val="9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</cellStyleXfs>
  <cellXfs count="258">
    <xf numFmtId="0" fontId="0" fillId="0" borderId="0" xfId="0"/>
    <xf numFmtId="164" fontId="5" fillId="0" borderId="1" xfId="1" applyFont="1" applyFill="1" applyBorder="1" applyAlignment="1">
      <alignment vertical="center"/>
    </xf>
    <xf numFmtId="164" fontId="5" fillId="2" borderId="1" xfId="1" applyFont="1" applyFill="1" applyBorder="1" applyAlignment="1">
      <alignment vertical="center"/>
    </xf>
    <xf numFmtId="164" fontId="5" fillId="5" borderId="1" xfId="1" applyFont="1" applyFill="1" applyBorder="1" applyAlignment="1">
      <alignment vertical="center"/>
    </xf>
    <xf numFmtId="164" fontId="5" fillId="5" borderId="1" xfId="1" applyFont="1" applyFill="1" applyBorder="1" applyAlignment="1">
      <alignment horizontal="center" vertical="center"/>
    </xf>
    <xf numFmtId="0" fontId="0" fillId="7" borderId="1" xfId="0" applyFill="1" applyBorder="1"/>
    <xf numFmtId="0" fontId="4" fillId="7" borderId="1" xfId="0" applyFont="1" applyFill="1" applyBorder="1" applyAlignment="1">
      <alignment horizontal="right" vertical="center"/>
    </xf>
    <xf numFmtId="9" fontId="4" fillId="7" borderId="1" xfId="2" applyFont="1" applyFill="1" applyBorder="1" applyAlignment="1">
      <alignment vertical="center"/>
    </xf>
    <xf numFmtId="165" fontId="4" fillId="7" borderId="1" xfId="1" applyNumberFormat="1" applyFont="1" applyFill="1" applyBorder="1" applyAlignment="1">
      <alignment vertical="center"/>
    </xf>
    <xf numFmtId="165" fontId="5" fillId="7" borderId="1" xfId="1" applyNumberFormat="1" applyFont="1" applyFill="1" applyBorder="1" applyAlignment="1">
      <alignment vertical="center"/>
    </xf>
    <xf numFmtId="164" fontId="5" fillId="7" borderId="0" xfId="1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vertical="center"/>
    </xf>
    <xf numFmtId="164" fontId="5" fillId="7" borderId="0" xfId="0" applyNumberFormat="1" applyFont="1" applyFill="1" applyAlignment="1">
      <alignment vertical="center"/>
    </xf>
    <xf numFmtId="2" fontId="5" fillId="7" borderId="0" xfId="0" applyNumberFormat="1" applyFont="1" applyFill="1" applyAlignment="1">
      <alignment vertical="center"/>
    </xf>
    <xf numFmtId="10" fontId="5" fillId="7" borderId="0" xfId="2" applyNumberFormat="1" applyFont="1" applyFill="1" applyBorder="1" applyAlignment="1">
      <alignment vertical="center"/>
    </xf>
    <xf numFmtId="9" fontId="5" fillId="7" borderId="0" xfId="2" applyFont="1" applyFill="1" applyBorder="1" applyAlignment="1">
      <alignment vertical="center"/>
    </xf>
    <xf numFmtId="9" fontId="4" fillId="7" borderId="0" xfId="2" applyFont="1" applyFill="1" applyBorder="1" applyAlignment="1">
      <alignment vertical="center"/>
    </xf>
    <xf numFmtId="0" fontId="4" fillId="7" borderId="0" xfId="0" applyFont="1" applyFill="1" applyAlignment="1">
      <alignment horizontal="center" vertical="center"/>
    </xf>
    <xf numFmtId="165" fontId="5" fillId="7" borderId="0" xfId="0" applyNumberFormat="1" applyFont="1" applyFill="1" applyAlignment="1">
      <alignment vertical="center"/>
    </xf>
    <xf numFmtId="164" fontId="5" fillId="9" borderId="1" xfId="1" applyFont="1" applyFill="1" applyBorder="1" applyAlignment="1">
      <alignment vertical="center"/>
    </xf>
    <xf numFmtId="164" fontId="5" fillId="5" borderId="1" xfId="1" applyFont="1" applyFill="1" applyBorder="1" applyAlignment="1">
      <alignment horizontal="left" vertical="center"/>
    </xf>
    <xf numFmtId="164" fontId="4" fillId="8" borderId="3" xfId="1" applyFont="1" applyFill="1" applyBorder="1" applyAlignment="1">
      <alignment vertical="center"/>
    </xf>
    <xf numFmtId="164" fontId="4" fillId="8" borderId="4" xfId="1" applyFont="1" applyFill="1" applyBorder="1" applyAlignment="1">
      <alignment vertical="center"/>
    </xf>
    <xf numFmtId="164" fontId="5" fillId="9" borderId="5" xfId="1" applyFont="1" applyFill="1" applyBorder="1" applyAlignment="1">
      <alignment vertical="center"/>
    </xf>
    <xf numFmtId="164" fontId="5" fillId="9" borderId="6" xfId="1" applyFont="1" applyFill="1" applyBorder="1" applyAlignment="1">
      <alignment vertical="center"/>
    </xf>
    <xf numFmtId="9" fontId="5" fillId="9" borderId="7" xfId="2" applyFont="1" applyFill="1" applyBorder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0" fillId="7" borderId="0" xfId="0" applyFill="1"/>
    <xf numFmtId="164" fontId="0" fillId="7" borderId="1" xfId="1" applyFont="1" applyFill="1" applyBorder="1" applyAlignment="1"/>
    <xf numFmtId="164" fontId="0" fillId="7" borderId="0" xfId="1" applyFont="1" applyFill="1" applyBorder="1" applyAlignment="1"/>
    <xf numFmtId="0" fontId="7" fillId="7" borderId="1" xfId="0" applyFont="1" applyFill="1" applyBorder="1" applyAlignment="1">
      <alignment vertical="center"/>
    </xf>
    <xf numFmtId="165" fontId="5" fillId="9" borderId="1" xfId="1" applyNumberFormat="1" applyFont="1" applyFill="1" applyBorder="1" applyAlignment="1">
      <alignment vertical="center"/>
    </xf>
    <xf numFmtId="164" fontId="5" fillId="10" borderId="1" xfId="1" applyFont="1" applyFill="1" applyBorder="1" applyAlignment="1">
      <alignment vertical="center"/>
    </xf>
    <xf numFmtId="164" fontId="5" fillId="11" borderId="1" xfId="1" applyFont="1" applyFill="1" applyBorder="1" applyAlignment="1">
      <alignment vertical="center"/>
    </xf>
    <xf numFmtId="166" fontId="5" fillId="7" borderId="0" xfId="2" applyNumberFormat="1" applyFont="1" applyFill="1" applyBorder="1" applyAlignment="1">
      <alignment vertical="center"/>
    </xf>
    <xf numFmtId="9" fontId="5" fillId="9" borderId="1" xfId="2" applyFont="1" applyFill="1" applyBorder="1" applyAlignment="1">
      <alignment vertical="center"/>
    </xf>
    <xf numFmtId="9" fontId="5" fillId="7" borderId="0" xfId="2" applyFont="1" applyFill="1" applyAlignment="1">
      <alignment vertical="center"/>
    </xf>
    <xf numFmtId="9" fontId="5" fillId="5" borderId="1" xfId="2" applyFont="1" applyFill="1" applyBorder="1" applyAlignment="1">
      <alignment vertical="center"/>
    </xf>
    <xf numFmtId="0" fontId="7" fillId="7" borderId="0" xfId="0" applyFont="1" applyFill="1" applyAlignment="1">
      <alignment vertical="center"/>
    </xf>
    <xf numFmtId="164" fontId="4" fillId="7" borderId="1" xfId="1" applyFont="1" applyFill="1" applyBorder="1" applyAlignment="1">
      <alignment horizontal="centerContinuous" vertical="center"/>
    </xf>
    <xf numFmtId="9" fontId="4" fillId="7" borderId="1" xfId="2" applyFont="1" applyFill="1" applyBorder="1" applyAlignment="1">
      <alignment horizontal="centerContinuous" vertical="center"/>
    </xf>
    <xf numFmtId="0" fontId="4" fillId="7" borderId="1" xfId="0" applyFont="1" applyFill="1" applyBorder="1" applyAlignment="1">
      <alignment horizontal="centerContinuous" vertical="center"/>
    </xf>
    <xf numFmtId="164" fontId="4" fillId="7" borderId="0" xfId="1" applyFont="1" applyFill="1" applyBorder="1" applyAlignment="1">
      <alignment horizontal="center" vertical="center"/>
    </xf>
    <xf numFmtId="165" fontId="4" fillId="7" borderId="0" xfId="1" applyNumberFormat="1" applyFont="1" applyFill="1" applyBorder="1" applyAlignment="1">
      <alignment vertical="center"/>
    </xf>
    <xf numFmtId="164" fontId="5" fillId="7" borderId="1" xfId="1" applyFont="1" applyFill="1" applyBorder="1" applyAlignment="1">
      <alignment vertical="center"/>
    </xf>
    <xf numFmtId="164" fontId="5" fillId="9" borderId="5" xfId="1" applyFont="1" applyFill="1" applyBorder="1" applyAlignment="1">
      <alignment vertical="center" wrapText="1"/>
    </xf>
    <xf numFmtId="164" fontId="4" fillId="6" borderId="1" xfId="1" applyFont="1" applyFill="1" applyBorder="1" applyAlignment="1">
      <alignment vertical="center"/>
    </xf>
    <xf numFmtId="164" fontId="4" fillId="6" borderId="1" xfId="1" applyFont="1" applyFill="1" applyBorder="1" applyAlignment="1">
      <alignment horizontal="left" vertical="center"/>
    </xf>
    <xf numFmtId="17" fontId="4" fillId="7" borderId="1" xfId="0" applyNumberFormat="1" applyFont="1" applyFill="1" applyBorder="1" applyAlignment="1">
      <alignment horizontal="right" vertical="center"/>
    </xf>
    <xf numFmtId="164" fontId="4" fillId="7" borderId="1" xfId="1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164" fontId="4" fillId="8" borderId="1" xfId="1" applyFont="1" applyFill="1" applyBorder="1" applyAlignment="1">
      <alignment horizontal="center" vertical="center"/>
    </xf>
    <xf numFmtId="9" fontId="4" fillId="8" borderId="1" xfId="2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1" applyFont="1" applyFill="1" applyBorder="1" applyAlignment="1">
      <alignment horizontal="center" vertical="center"/>
    </xf>
    <xf numFmtId="9" fontId="4" fillId="6" borderId="1" xfId="2" applyFont="1" applyFill="1" applyBorder="1" applyAlignment="1">
      <alignment horizontal="center" vertical="center"/>
    </xf>
    <xf numFmtId="164" fontId="5" fillId="11" borderId="1" xfId="1" applyFont="1" applyFill="1" applyBorder="1" applyAlignment="1">
      <alignment horizontal="center" vertical="center"/>
    </xf>
    <xf numFmtId="164" fontId="4" fillId="9" borderId="1" xfId="1" applyFont="1" applyFill="1" applyBorder="1" applyAlignment="1">
      <alignment vertical="center"/>
    </xf>
    <xf numFmtId="164" fontId="4" fillId="10" borderId="1" xfId="1" applyFont="1" applyFill="1" applyBorder="1" applyAlignment="1">
      <alignment vertical="center"/>
    </xf>
    <xf numFmtId="9" fontId="4" fillId="9" borderId="1" xfId="2" applyFont="1" applyFill="1" applyBorder="1" applyAlignment="1">
      <alignment vertical="center"/>
    </xf>
    <xf numFmtId="164" fontId="4" fillId="5" borderId="1" xfId="1" applyFont="1" applyFill="1" applyBorder="1" applyAlignment="1">
      <alignment horizontal="left" vertical="center"/>
    </xf>
    <xf numFmtId="164" fontId="4" fillId="11" borderId="1" xfId="1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right" vertical="center"/>
    </xf>
    <xf numFmtId="164" fontId="4" fillId="13" borderId="1" xfId="1" applyFont="1" applyFill="1" applyBorder="1" applyAlignment="1">
      <alignment horizontal="center" vertical="center"/>
    </xf>
    <xf numFmtId="9" fontId="4" fillId="12" borderId="1" xfId="2" applyFont="1" applyFill="1" applyBorder="1" applyAlignment="1">
      <alignment horizontal="right" vertical="center"/>
    </xf>
    <xf numFmtId="164" fontId="4" fillId="12" borderId="1" xfId="1" applyFont="1" applyFill="1" applyBorder="1" applyAlignment="1">
      <alignment horizontal="right" vertical="center"/>
    </xf>
    <xf numFmtId="164" fontId="4" fillId="7" borderId="1" xfId="1" applyFont="1" applyFill="1" applyBorder="1" applyAlignment="1">
      <alignment horizontal="right" vertical="center"/>
    </xf>
    <xf numFmtId="164" fontId="5" fillId="7" borderId="1" xfId="1" applyFont="1" applyFill="1" applyBorder="1" applyAlignment="1">
      <alignment horizontal="right" vertical="center"/>
    </xf>
    <xf numFmtId="164" fontId="5" fillId="7" borderId="0" xfId="1" applyFont="1" applyFill="1" applyBorder="1" applyAlignment="1">
      <alignment horizontal="left" vertical="center"/>
    </xf>
    <xf numFmtId="164" fontId="5" fillId="5" borderId="1" xfId="1" applyFont="1" applyFill="1" applyBorder="1" applyAlignment="1">
      <alignment horizontal="left" vertical="center" wrapText="1"/>
    </xf>
    <xf numFmtId="164" fontId="5" fillId="5" borderId="1" xfId="1" applyFont="1" applyFill="1" applyBorder="1" applyAlignment="1">
      <alignment horizontal="left" vertical="top" wrapText="1"/>
    </xf>
    <xf numFmtId="164" fontId="5" fillId="5" borderId="1" xfId="1" applyFont="1" applyFill="1" applyBorder="1" applyAlignment="1">
      <alignment horizontal="right" vertical="center"/>
    </xf>
    <xf numFmtId="9" fontId="5" fillId="5" borderId="1" xfId="2" applyFont="1" applyFill="1" applyBorder="1" applyAlignment="1">
      <alignment horizontal="right" vertical="center"/>
    </xf>
    <xf numFmtId="9" fontId="4" fillId="14" borderId="1" xfId="2" applyFont="1" applyFill="1" applyBorder="1" applyAlignment="1">
      <alignment horizontal="center" vertical="center"/>
    </xf>
    <xf numFmtId="164" fontId="5" fillId="14" borderId="1" xfId="1" applyFont="1" applyFill="1" applyBorder="1" applyAlignment="1">
      <alignment vertical="center"/>
    </xf>
    <xf numFmtId="9" fontId="5" fillId="14" borderId="1" xfId="2" applyFont="1" applyFill="1" applyBorder="1" applyAlignment="1">
      <alignment vertical="center"/>
    </xf>
    <xf numFmtId="165" fontId="5" fillId="14" borderId="1" xfId="1" applyNumberFormat="1" applyFont="1" applyFill="1" applyBorder="1" applyAlignment="1">
      <alignment vertical="center"/>
    </xf>
    <xf numFmtId="9" fontId="4" fillId="14" borderId="1" xfId="2" applyFont="1" applyFill="1" applyBorder="1" applyAlignment="1">
      <alignment vertical="center"/>
    </xf>
    <xf numFmtId="164" fontId="4" fillId="14" borderId="1" xfId="1" applyFont="1" applyFill="1" applyBorder="1" applyAlignment="1">
      <alignment vertical="center"/>
    </xf>
    <xf numFmtId="164" fontId="4" fillId="14" borderId="1" xfId="1" applyFont="1" applyFill="1" applyBorder="1" applyAlignment="1">
      <alignment horizontal="left" vertical="center"/>
    </xf>
    <xf numFmtId="164" fontId="5" fillId="14" borderId="1" xfId="1" applyFont="1" applyFill="1" applyBorder="1" applyAlignment="1">
      <alignment horizontal="left" vertical="center"/>
    </xf>
    <xf numFmtId="164" fontId="5" fillId="14" borderId="1" xfId="1" applyFont="1" applyFill="1" applyBorder="1" applyAlignment="1">
      <alignment horizontal="left" vertical="center" wrapText="1"/>
    </xf>
    <xf numFmtId="164" fontId="5" fillId="14" borderId="1" xfId="1" applyFont="1" applyFill="1" applyBorder="1" applyAlignment="1">
      <alignment horizontal="left" vertical="top" wrapText="1"/>
    </xf>
    <xf numFmtId="9" fontId="0" fillId="7" borderId="1" xfId="2" applyFont="1" applyFill="1" applyBorder="1"/>
    <xf numFmtId="9" fontId="0" fillId="7" borderId="0" xfId="2" applyFont="1" applyFill="1"/>
    <xf numFmtId="9" fontId="4" fillId="13" borderId="1" xfId="2" applyFont="1" applyFill="1" applyBorder="1" applyAlignment="1">
      <alignment horizontal="right" vertical="center"/>
    </xf>
    <xf numFmtId="0" fontId="4" fillId="13" borderId="1" xfId="0" applyFont="1" applyFill="1" applyBorder="1" applyAlignment="1">
      <alignment horizontal="right" vertical="center"/>
    </xf>
    <xf numFmtId="164" fontId="4" fillId="13" borderId="1" xfId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wrapText="1"/>
    </xf>
    <xf numFmtId="164" fontId="4" fillId="14" borderId="1" xfId="1" applyFont="1" applyFill="1" applyBorder="1" applyAlignment="1">
      <alignment horizontal="right" vertical="center"/>
    </xf>
    <xf numFmtId="164" fontId="5" fillId="14" borderId="1" xfId="1" applyFont="1" applyFill="1" applyBorder="1" applyAlignment="1">
      <alignment horizontal="right" vertical="center"/>
    </xf>
    <xf numFmtId="9" fontId="4" fillId="15" borderId="1" xfId="2" applyFont="1" applyFill="1" applyBorder="1" applyAlignment="1">
      <alignment horizontal="center" vertical="center"/>
    </xf>
    <xf numFmtId="9" fontId="4" fillId="12" borderId="1" xfId="2" applyFont="1" applyFill="1" applyBorder="1" applyAlignment="1">
      <alignment horizontal="centerContinuous" vertical="center"/>
    </xf>
    <xf numFmtId="9" fontId="5" fillId="12" borderId="1" xfId="2" applyFont="1" applyFill="1" applyBorder="1" applyAlignment="1">
      <alignment horizontal="centerContinuous" vertical="center"/>
    </xf>
    <xf numFmtId="164" fontId="5" fillId="12" borderId="1" xfId="1" applyFont="1" applyFill="1" applyBorder="1" applyAlignment="1">
      <alignment horizontal="centerContinuous" vertical="center"/>
    </xf>
    <xf numFmtId="9" fontId="4" fillId="13" borderId="1" xfId="2" applyFont="1" applyFill="1" applyBorder="1" applyAlignment="1">
      <alignment horizontal="centerContinuous" vertical="center"/>
    </xf>
    <xf numFmtId="0" fontId="7" fillId="13" borderId="8" xfId="0" applyFont="1" applyFill="1" applyBorder="1" applyAlignment="1">
      <alignment horizontal="centerContinuous" vertical="center"/>
    </xf>
    <xf numFmtId="0" fontId="7" fillId="13" borderId="2" xfId="0" applyFont="1" applyFill="1" applyBorder="1" applyAlignment="1">
      <alignment horizontal="centerContinuous" vertical="center"/>
    </xf>
    <xf numFmtId="164" fontId="0" fillId="0" borderId="1" xfId="1" applyFont="1" applyFill="1" applyBorder="1"/>
    <xf numFmtId="164" fontId="0" fillId="0" borderId="1" xfId="1" applyFont="1" applyFill="1" applyBorder="1" applyAlignment="1">
      <alignment horizontal="center"/>
    </xf>
    <xf numFmtId="167" fontId="2" fillId="0" borderId="5" xfId="0" applyNumberFormat="1" applyFont="1" applyBorder="1"/>
    <xf numFmtId="167" fontId="8" fillId="0" borderId="5" xfId="0" applyNumberFormat="1" applyFont="1" applyBorder="1"/>
    <xf numFmtId="0" fontId="9" fillId="14" borderId="1" xfId="0" applyFont="1" applyFill="1" applyBorder="1"/>
    <xf numFmtId="164" fontId="10" fillId="14" borderId="1" xfId="1" applyFont="1" applyFill="1" applyBorder="1" applyAlignment="1">
      <alignment vertical="center"/>
    </xf>
    <xf numFmtId="9" fontId="5" fillId="14" borderId="1" xfId="2" applyFont="1" applyFill="1" applyBorder="1" applyAlignment="1">
      <alignment horizontal="right" vertical="center"/>
    </xf>
    <xf numFmtId="9" fontId="0" fillId="7" borderId="1" xfId="0" applyNumberFormat="1" applyFill="1" applyBorder="1" applyAlignment="1">
      <alignment horizontal="center" wrapText="1"/>
    </xf>
    <xf numFmtId="0" fontId="0" fillId="7" borderId="0" xfId="0" applyFill="1" applyAlignment="1">
      <alignment horizontal="center" wrapText="1"/>
    </xf>
    <xf numFmtId="0" fontId="8" fillId="13" borderId="1" xfId="0" applyFont="1" applyFill="1" applyBorder="1"/>
    <xf numFmtId="0" fontId="0" fillId="0" borderId="1" xfId="0" applyBorder="1"/>
    <xf numFmtId="9" fontId="6" fillId="3" borderId="4" xfId="2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4" borderId="1" xfId="1" applyFont="1" applyFill="1" applyBorder="1" applyAlignment="1">
      <alignment horizontal="center" vertical="center"/>
    </xf>
    <xf numFmtId="164" fontId="13" fillId="4" borderId="1" xfId="1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64" fontId="2" fillId="5" borderId="1" xfId="1" applyFont="1" applyFill="1" applyBorder="1" applyAlignment="1">
      <alignment horizontal="center" vertical="center"/>
    </xf>
    <xf numFmtId="164" fontId="2" fillId="9" borderId="1" xfId="1" applyFont="1" applyFill="1" applyBorder="1" applyAlignment="1">
      <alignment horizontal="center" vertical="center"/>
    </xf>
    <xf numFmtId="164" fontId="2" fillId="9" borderId="11" xfId="1" applyFont="1" applyFill="1" applyBorder="1" applyAlignment="1">
      <alignment horizontal="center" vertical="center"/>
    </xf>
    <xf numFmtId="167" fontId="0" fillId="0" borderId="5" xfId="0" applyNumberFormat="1" applyBorder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4" borderId="1" xfId="0" applyFill="1" applyBorder="1"/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1" applyFont="1" applyFill="1" applyBorder="1" applyAlignment="1">
      <alignment vertical="center"/>
    </xf>
    <xf numFmtId="9" fontId="0" fillId="0" borderId="1" xfId="2" applyFont="1" applyFill="1" applyBorder="1" applyAlignment="1">
      <alignment horizontal="right" vertical="center"/>
    </xf>
    <xf numFmtId="9" fontId="0" fillId="0" borderId="1" xfId="1" applyNumberFormat="1" applyFont="1" applyFill="1" applyBorder="1" applyAlignment="1">
      <alignment vertical="center"/>
    </xf>
    <xf numFmtId="164" fontId="0" fillId="0" borderId="1" xfId="2" applyNumberFormat="1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4" fontId="0" fillId="0" borderId="1" xfId="1" applyFont="1" applyFill="1" applyBorder="1" applyAlignment="1">
      <alignment horizontal="center" vertical="center"/>
    </xf>
    <xf numFmtId="164" fontId="0" fillId="4" borderId="1" xfId="1" applyFont="1" applyFill="1" applyBorder="1" applyAlignment="1">
      <alignment horizontal="center" vertical="center"/>
    </xf>
    <xf numFmtId="164" fontId="8" fillId="4" borderId="1" xfId="1" applyFont="1" applyFill="1" applyBorder="1" applyAlignment="1">
      <alignment horizontal="center" vertical="center"/>
    </xf>
    <xf numFmtId="164" fontId="0" fillId="2" borderId="1" xfId="1" applyFont="1" applyFill="1" applyBorder="1" applyAlignment="1">
      <alignment horizontal="center" vertical="center"/>
    </xf>
    <xf numFmtId="164" fontId="0" fillId="5" borderId="1" xfId="1" applyFont="1" applyFill="1" applyBorder="1" applyAlignment="1">
      <alignment vertical="center"/>
    </xf>
    <xf numFmtId="164" fontId="0" fillId="9" borderId="1" xfId="1" applyFont="1" applyFill="1" applyBorder="1" applyAlignment="1">
      <alignment vertical="center"/>
    </xf>
    <xf numFmtId="164" fontId="0" fillId="9" borderId="11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13" borderId="1" xfId="0" applyNumberFormat="1" applyFill="1" applyBorder="1" applyAlignment="1">
      <alignment vertical="center"/>
    </xf>
    <xf numFmtId="164" fontId="0" fillId="2" borderId="1" xfId="1" applyFont="1" applyFill="1" applyBorder="1" applyAlignment="1">
      <alignment vertical="center"/>
    </xf>
    <xf numFmtId="0" fontId="0" fillId="0" borderId="1" xfId="0" applyBorder="1" applyAlignment="1">
      <alignment horizontal="left"/>
    </xf>
    <xf numFmtId="164" fontId="0" fillId="5" borderId="1" xfId="1" applyFont="1" applyFill="1" applyBorder="1" applyAlignment="1">
      <alignment horizontal="center" vertical="center"/>
    </xf>
    <xf numFmtId="164" fontId="0" fillId="9" borderId="1" xfId="1" applyFont="1" applyFill="1" applyBorder="1" applyAlignment="1">
      <alignment horizontal="center" vertical="center"/>
    </xf>
    <xf numFmtId="164" fontId="0" fillId="9" borderId="11" xfId="1" applyFont="1" applyFill="1" applyBorder="1" applyAlignment="1">
      <alignment horizontal="center" vertical="center"/>
    </xf>
    <xf numFmtId="164" fontId="0" fillId="9" borderId="1" xfId="0" applyNumberFormat="1" applyFill="1" applyBorder="1" applyAlignment="1">
      <alignment vertical="center"/>
    </xf>
    <xf numFmtId="0" fontId="0" fillId="13" borderId="1" xfId="0" applyFill="1" applyBorder="1"/>
    <xf numFmtId="164" fontId="9" fillId="4" borderId="1" xfId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vertical="center"/>
    </xf>
    <xf numFmtId="17" fontId="0" fillId="0" borderId="0" xfId="0" applyNumberFormat="1" applyAlignment="1">
      <alignment vertical="center"/>
    </xf>
    <xf numFmtId="0" fontId="14" fillId="0" borderId="1" xfId="0" applyFont="1" applyBorder="1" applyAlignment="1">
      <alignment horizontal="center" vertical="center"/>
    </xf>
    <xf numFmtId="164" fontId="0" fillId="2" borderId="1" xfId="0" applyNumberForma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164" fontId="2" fillId="9" borderId="1" xfId="0" applyNumberFormat="1" applyFont="1" applyFill="1" applyBorder="1" applyAlignment="1">
      <alignment vertical="center"/>
    </xf>
    <xf numFmtId="164" fontId="2" fillId="9" borderId="11" xfId="0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14" fontId="0" fillId="0" borderId="5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readingOrder="1"/>
    </xf>
    <xf numFmtId="0" fontId="0" fillId="0" borderId="1" xfId="0" applyBorder="1" applyAlignment="1">
      <alignment horizontal="center"/>
    </xf>
    <xf numFmtId="164" fontId="0" fillId="16" borderId="1" xfId="1" applyFont="1" applyFill="1" applyBorder="1" applyAlignment="1">
      <alignment vertical="center"/>
    </xf>
    <xf numFmtId="164" fontId="0" fillId="4" borderId="0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9" fontId="0" fillId="0" borderId="7" xfId="2" applyFont="1" applyFill="1" applyBorder="1" applyAlignment="1">
      <alignment horizontal="right" vertical="center"/>
    </xf>
    <xf numFmtId="164" fontId="0" fillId="0" borderId="7" xfId="1" applyFont="1" applyFill="1" applyBorder="1" applyAlignment="1">
      <alignment vertical="center"/>
    </xf>
    <xf numFmtId="164" fontId="0" fillId="0" borderId="7" xfId="2" applyNumberFormat="1" applyFont="1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 readingOrder="1"/>
    </xf>
    <xf numFmtId="164" fontId="0" fillId="4" borderId="7" xfId="1" applyFont="1" applyFill="1" applyBorder="1" applyAlignment="1">
      <alignment horizontal="center" vertical="center"/>
    </xf>
    <xf numFmtId="164" fontId="0" fillId="2" borderId="7" xfId="1" applyFont="1" applyFill="1" applyBorder="1" applyAlignment="1">
      <alignment horizontal="center" vertical="center"/>
    </xf>
    <xf numFmtId="164" fontId="0" fillId="2" borderId="7" xfId="0" applyNumberFormat="1" applyFill="1" applyBorder="1" applyAlignment="1">
      <alignment vertical="center"/>
    </xf>
    <xf numFmtId="164" fontId="0" fillId="5" borderId="7" xfId="0" applyNumberFormat="1" applyFill="1" applyBorder="1" applyAlignment="1">
      <alignment vertical="center"/>
    </xf>
    <xf numFmtId="164" fontId="0" fillId="9" borderId="7" xfId="0" applyNumberFormat="1" applyFill="1" applyBorder="1" applyAlignment="1">
      <alignment vertical="center"/>
    </xf>
    <xf numFmtId="164" fontId="0" fillId="9" borderId="12" xfId="0" applyNumberFormat="1" applyFill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1" applyFont="1" applyFill="1" applyBorder="1" applyAlignment="1">
      <alignment vertical="center"/>
    </xf>
    <xf numFmtId="9" fontId="0" fillId="0" borderId="0" xfId="2" applyFont="1" applyFill="1" applyBorder="1" applyAlignment="1">
      <alignment horizontal="right" vertical="center"/>
    </xf>
    <xf numFmtId="164" fontId="0" fillId="0" borderId="0" xfId="2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 readingOrder="1"/>
    </xf>
    <xf numFmtId="164" fontId="0" fillId="2" borderId="0" xfId="1" applyFont="1" applyFill="1" applyBorder="1" applyAlignment="1">
      <alignment horizontal="center" vertical="center"/>
    </xf>
    <xf numFmtId="164" fontId="0" fillId="2" borderId="0" xfId="0" applyNumberFormat="1" applyFill="1" applyAlignment="1">
      <alignment vertical="center"/>
    </xf>
    <xf numFmtId="164" fontId="0" fillId="5" borderId="0" xfId="0" applyNumberFormat="1" applyFill="1" applyAlignment="1">
      <alignment vertical="center"/>
    </xf>
    <xf numFmtId="164" fontId="0" fillId="9" borderId="0" xfId="0" applyNumberFormat="1" applyFill="1" applyAlignment="1">
      <alignment vertical="center"/>
    </xf>
    <xf numFmtId="164" fontId="9" fillId="4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14" borderId="1" xfId="0" applyNumberFormat="1" applyFill="1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1" applyFont="1" applyFill="1" applyBorder="1" applyAlignment="1">
      <alignment horizontal="center" vertical="center"/>
    </xf>
    <xf numFmtId="164" fontId="0" fillId="0" borderId="0" xfId="2" applyNumberFormat="1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7" xfId="0" applyNumberFormat="1" applyBorder="1" applyAlignment="1">
      <alignment horizontal="center" vertical="center"/>
    </xf>
    <xf numFmtId="164" fontId="2" fillId="0" borderId="7" xfId="0" applyNumberFormat="1" applyFont="1" applyBorder="1" applyAlignment="1">
      <alignment vertical="center"/>
    </xf>
    <xf numFmtId="164" fontId="0" fillId="0" borderId="7" xfId="0" applyNumberFormat="1" applyBorder="1" applyAlignment="1">
      <alignment horizontal="left" vertical="center"/>
    </xf>
    <xf numFmtId="164" fontId="9" fillId="4" borderId="7" xfId="1" applyFont="1" applyFill="1" applyBorder="1" applyAlignment="1">
      <alignment horizontal="center" vertical="center"/>
    </xf>
    <xf numFmtId="164" fontId="0" fillId="0" borderId="1" xfId="1" applyFont="1" applyFill="1" applyBorder="1" applyAlignment="1"/>
    <xf numFmtId="9" fontId="0" fillId="0" borderId="1" xfId="2" applyFont="1" applyFill="1" applyBorder="1"/>
    <xf numFmtId="9" fontId="0" fillId="0" borderId="1" xfId="0" applyNumberFormat="1" applyBorder="1" applyAlignment="1">
      <alignment horizont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4" fontId="8" fillId="0" borderId="1" xfId="1" applyFont="1" applyFill="1" applyBorder="1" applyAlignment="1"/>
    <xf numFmtId="9" fontId="8" fillId="0" borderId="1" xfId="2" applyFont="1" applyFill="1" applyBorder="1"/>
    <xf numFmtId="9" fontId="8" fillId="0" borderId="1" xfId="0" applyNumberFormat="1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left" vertical="center"/>
    </xf>
    <xf numFmtId="165" fontId="11" fillId="7" borderId="0" xfId="1" applyNumberFormat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64" fontId="6" fillId="3" borderId="4" xfId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0" fillId="0" borderId="5" xfId="0" applyBorder="1"/>
    <xf numFmtId="0" fontId="0" fillId="7" borderId="11" xfId="0" applyFill="1" applyBorder="1"/>
    <xf numFmtId="0" fontId="8" fillId="0" borderId="5" xfId="0" applyFont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164" fontId="0" fillId="7" borderId="7" xfId="1" applyFont="1" applyFill="1" applyBorder="1" applyAlignment="1"/>
    <xf numFmtId="9" fontId="0" fillId="7" borderId="7" xfId="2" applyFont="1" applyFill="1" applyBorder="1"/>
    <xf numFmtId="9" fontId="0" fillId="7" borderId="7" xfId="0" applyNumberFormat="1" applyFill="1" applyBorder="1" applyAlignment="1">
      <alignment horizontal="center" wrapText="1"/>
    </xf>
    <xf numFmtId="0" fontId="0" fillId="7" borderId="12" xfId="0" applyFill="1" applyBorder="1"/>
    <xf numFmtId="164" fontId="15" fillId="14" borderId="1" xfId="1" applyFont="1" applyFill="1" applyBorder="1" applyAlignment="1">
      <alignment horizontal="right" vertical="center"/>
    </xf>
    <xf numFmtId="164" fontId="15" fillId="5" borderId="1" xfId="1" applyFont="1" applyFill="1" applyBorder="1" applyAlignment="1">
      <alignment horizontal="right" vertical="center"/>
    </xf>
    <xf numFmtId="17" fontId="0" fillId="7" borderId="1" xfId="0" applyNumberFormat="1" applyFill="1" applyBorder="1"/>
    <xf numFmtId="0" fontId="16" fillId="0" borderId="0" xfId="0" applyFont="1"/>
    <xf numFmtId="1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164" fontId="0" fillId="14" borderId="14" xfId="0" applyNumberFormat="1" applyFill="1" applyBorder="1" applyAlignment="1">
      <alignment vertical="center"/>
    </xf>
    <xf numFmtId="164" fontId="0" fillId="0" borderId="14" xfId="0" applyNumberForma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164" fontId="0" fillId="0" borderId="14" xfId="1" applyFont="1" applyFill="1" applyBorder="1" applyAlignment="1">
      <alignment vertical="center"/>
    </xf>
    <xf numFmtId="9" fontId="0" fillId="0" borderId="14" xfId="1" applyNumberFormat="1" applyFont="1" applyFill="1" applyBorder="1" applyAlignment="1">
      <alignment vertical="center"/>
    </xf>
    <xf numFmtId="164" fontId="0" fillId="0" borderId="14" xfId="2" applyNumberFormat="1" applyFont="1" applyFill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 readingOrder="1"/>
    </xf>
    <xf numFmtId="164" fontId="0" fillId="4" borderId="14" xfId="1" applyFont="1" applyFill="1" applyBorder="1" applyAlignment="1">
      <alignment horizontal="center" vertical="center"/>
    </xf>
    <xf numFmtId="164" fontId="9" fillId="4" borderId="14" xfId="1" applyFont="1" applyFill="1" applyBorder="1" applyAlignment="1">
      <alignment horizontal="center" vertical="center"/>
    </xf>
    <xf numFmtId="164" fontId="0" fillId="2" borderId="14" xfId="1" applyFont="1" applyFill="1" applyBorder="1" applyAlignment="1">
      <alignment horizontal="center" vertical="center"/>
    </xf>
    <xf numFmtId="164" fontId="0" fillId="5" borderId="14" xfId="0" applyNumberFormat="1" applyFill="1" applyBorder="1" applyAlignment="1">
      <alignment vertical="center"/>
    </xf>
    <xf numFmtId="164" fontId="0" fillId="9" borderId="14" xfId="0" applyNumberFormat="1" applyFill="1" applyBorder="1" applyAlignment="1">
      <alignment vertical="center"/>
    </xf>
    <xf numFmtId="164" fontId="0" fillId="9" borderId="15" xfId="0" applyNumberFormat="1" applyFill="1" applyBorder="1" applyAlignment="1">
      <alignment vertical="center"/>
    </xf>
    <xf numFmtId="164" fontId="6" fillId="3" borderId="4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2" fillId="2" borderId="4" xfId="1" applyFont="1" applyFill="1" applyBorder="1" applyAlignment="1">
      <alignment horizontal="center" vertical="center"/>
    </xf>
    <xf numFmtId="164" fontId="2" fillId="5" borderId="4" xfId="1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9" fontId="6" fillId="3" borderId="4" xfId="2" applyFont="1" applyFill="1" applyBorder="1" applyAlignment="1">
      <alignment horizontal="center" vertical="center"/>
    </xf>
    <xf numFmtId="9" fontId="6" fillId="3" borderId="1" xfId="2" applyFont="1" applyFill="1" applyBorder="1" applyAlignment="1">
      <alignment horizontal="center" vertical="center"/>
    </xf>
    <xf numFmtId="164" fontId="6" fillId="3" borderId="4" xfId="0" applyNumberFormat="1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4" fontId="6" fillId="3" borderId="3" xfId="0" applyNumberFormat="1" applyFont="1" applyFill="1" applyBorder="1" applyAlignment="1">
      <alignment horizontal="center" vertical="center"/>
    </xf>
    <xf numFmtId="14" fontId="6" fillId="3" borderId="5" xfId="0" applyNumberFormat="1" applyFont="1" applyFill="1" applyBorder="1" applyAlignment="1">
      <alignment horizontal="center" vertical="center"/>
    </xf>
    <xf numFmtId="164" fontId="2" fillId="9" borderId="4" xfId="1" applyFont="1" applyFill="1" applyBorder="1" applyAlignment="1">
      <alignment horizontal="center" vertical="center"/>
    </xf>
    <xf numFmtId="164" fontId="2" fillId="9" borderId="10" xfId="1" applyFont="1" applyFill="1" applyBorder="1" applyAlignment="1">
      <alignment horizontal="center" vertical="center"/>
    </xf>
  </cellXfs>
  <cellStyles count="6">
    <cellStyle name="Comma" xfId="1" builtinId="3"/>
    <cellStyle name="Comma 2" xfId="3" xr:uid="{92BDB108-496F-4E0F-BF42-59B46BBF804B}"/>
    <cellStyle name="Normal" xfId="0" builtinId="0"/>
    <cellStyle name="Normal 2" xfId="5" xr:uid="{6EB15DA5-CE09-4FD5-91E2-77561310FADB}"/>
    <cellStyle name="Normal 3" xfId="4" xr:uid="{8AE35BE6-5577-4B13-9152-1BC670B68EA3}"/>
    <cellStyle name="Percent" xfId="2" builtinId="5"/>
  </cellStyles>
  <dxfs count="70">
    <dxf>
      <font>
        <color rgb="FF9C5700"/>
      </font>
      <fill>
        <patternFill>
          <bgColor rgb="FFFFEB9C"/>
        </patternFill>
      </fill>
    </dxf>
    <dxf>
      <font>
        <color theme="5" tint="0.39994506668294322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rgb="FF9C0006"/>
      </font>
      <fill>
        <gradientFill type="path">
          <stop position="0">
            <color rgb="FF00B0F0"/>
          </stop>
          <stop position="1">
            <color theme="9" tint="-0.25098422193060094"/>
          </stop>
        </gradientFill>
      </fill>
    </dxf>
    <dxf>
      <font>
        <b/>
        <i val="0"/>
        <strike val="0"/>
        <color rgb="FF9C0006"/>
      </font>
      <numFmt numFmtId="0" formatCode="General"/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5" tint="0.39994506668294322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gradientFill type="path">
          <stop position="0">
            <color rgb="FF00B0F0"/>
          </stop>
          <stop position="1">
            <color theme="9" tint="-0.25098422193060094"/>
          </stop>
        </gradientFill>
      </fill>
    </dxf>
    <dxf>
      <font>
        <b/>
        <i val="0"/>
        <strike val="0"/>
        <color rgb="FF9C0006"/>
      </font>
      <numFmt numFmtId="0" formatCode="General"/>
      <fill>
        <patternFill>
          <bgColor rgb="FF00B0F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strike val="0"/>
        <color rgb="FF9C0006"/>
      </font>
      <numFmt numFmtId="0" formatCode="General"/>
      <fill>
        <patternFill>
          <bgColor rgb="FF00B0F0"/>
        </patternFill>
      </fill>
    </dxf>
    <dxf>
      <font>
        <color rgb="FF9C0006"/>
      </font>
      <fill>
        <gradientFill type="path">
          <stop position="0">
            <color rgb="FF00B0F0"/>
          </stop>
          <stop position="1">
            <color theme="9" tint="-0.25098422193060094"/>
          </stop>
        </gradientFill>
      </fill>
    </dxf>
    <dxf>
      <font>
        <color rgb="FF9C0006"/>
      </font>
    </dxf>
    <dxf>
      <font>
        <color theme="5" tint="0.39994506668294322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rgb="FFFF0000"/>
      </font>
    </dxf>
    <dxf>
      <font>
        <b/>
        <i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/>
        <i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37"/>
  <sheetViews>
    <sheetView topLeftCell="A7" zoomScaleNormal="100" workbookViewId="0">
      <selection activeCell="C18" sqref="C18"/>
    </sheetView>
  </sheetViews>
  <sheetFormatPr defaultColWidth="8.77734375" defaultRowHeight="14.4" x14ac:dyDescent="0.3"/>
  <cols>
    <col min="1" max="1" width="2.109375" style="12" customWidth="1"/>
    <col min="2" max="2" width="22.21875" style="12" bestFit="1" customWidth="1"/>
    <col min="3" max="3" width="14.109375" style="12" bestFit="1" customWidth="1"/>
    <col min="4" max="4" width="16.6640625" style="12" customWidth="1"/>
    <col min="5" max="5" width="13.21875" style="10" bestFit="1" customWidth="1"/>
    <col min="6" max="6" width="15.33203125" style="10" customWidth="1"/>
    <col min="7" max="7" width="15" style="10" bestFit="1" customWidth="1"/>
    <col min="8" max="8" width="14.5546875" style="10" bestFit="1" customWidth="1"/>
    <col min="9" max="9" width="17.88671875" style="10" bestFit="1" customWidth="1"/>
    <col min="10" max="10" width="20.77734375" style="16" bestFit="1" customWidth="1"/>
    <col min="11" max="11" width="14.77734375" style="16" customWidth="1"/>
    <col min="12" max="12" width="12.77734375" style="16" bestFit="1" customWidth="1"/>
    <col min="13" max="13" width="11.6640625" style="16" bestFit="1" customWidth="1"/>
    <col min="14" max="14" width="13.77734375" style="16" bestFit="1" customWidth="1"/>
    <col min="15" max="15" width="14.77734375" style="16" hidden="1" customWidth="1"/>
    <col min="16" max="16" width="12.77734375" style="10" bestFit="1" customWidth="1"/>
    <col min="17" max="17" width="13.33203125" style="12" bestFit="1" customWidth="1"/>
    <col min="18" max="18" width="13.5546875" style="12" bestFit="1" customWidth="1"/>
    <col min="19" max="19" width="13.77734375" style="37" bestFit="1" customWidth="1"/>
    <col min="20" max="20" width="5" style="12" customWidth="1"/>
    <col min="21" max="21" width="9.5546875" style="12" customWidth="1"/>
    <col min="22" max="22" width="12.77734375" style="12" bestFit="1" customWidth="1"/>
    <col min="23" max="23" width="12.5546875" style="12" bestFit="1" customWidth="1"/>
    <col min="24" max="24" width="11.21875" style="12" bestFit="1" customWidth="1"/>
    <col min="25" max="16384" width="8.77734375" style="12"/>
  </cols>
  <sheetData>
    <row r="2" spans="2:24" ht="18" x14ac:dyDescent="0.3">
      <c r="B2" s="31" t="s">
        <v>0</v>
      </c>
      <c r="C2" s="31" t="s">
        <v>83</v>
      </c>
      <c r="D2" s="39"/>
      <c r="E2" s="39"/>
      <c r="F2" s="39"/>
    </row>
    <row r="3" spans="2:24" x14ac:dyDescent="0.3">
      <c r="B3" s="10"/>
      <c r="C3" s="10"/>
      <c r="D3" s="10"/>
    </row>
    <row r="4" spans="2:24" ht="15" thickBot="1" x14ac:dyDescent="0.35">
      <c r="B4" s="10"/>
      <c r="C4" s="10"/>
      <c r="D4" s="10"/>
      <c r="E4" s="9">
        <v>4</v>
      </c>
      <c r="F4" s="69" t="s">
        <v>64</v>
      </c>
    </row>
    <row r="5" spans="2:24" x14ac:dyDescent="0.3">
      <c r="B5" s="22" t="s">
        <v>51</v>
      </c>
      <c r="C5" s="23">
        <v>3684211</v>
      </c>
      <c r="D5" s="80" t="s">
        <v>71</v>
      </c>
      <c r="E5" s="90">
        <v>1961000</v>
      </c>
      <c r="F5" s="48" t="s">
        <v>52</v>
      </c>
      <c r="G5" s="47">
        <v>980500</v>
      </c>
      <c r="H5" s="10" t="s">
        <v>72</v>
      </c>
    </row>
    <row r="6" spans="2:24" x14ac:dyDescent="0.3">
      <c r="B6" s="24" t="s">
        <v>1</v>
      </c>
      <c r="C6" s="20">
        <f>C5/12*E4</f>
        <v>1228070.3333333333</v>
      </c>
      <c r="D6" s="81" t="s">
        <v>1</v>
      </c>
      <c r="E6" s="91">
        <f>E5/12*E4</f>
        <v>653666.66666666663</v>
      </c>
      <c r="F6" s="21" t="s">
        <v>1</v>
      </c>
      <c r="G6" s="72">
        <f>G5/12*E4</f>
        <v>326833.33333333331</v>
      </c>
      <c r="Q6" s="14"/>
    </row>
    <row r="7" spans="2:24" ht="43.2" x14ac:dyDescent="0.3">
      <c r="B7" s="46" t="s">
        <v>63</v>
      </c>
      <c r="C7" s="20">
        <f>H14</f>
        <v>230524.87000000002</v>
      </c>
      <c r="D7" s="82" t="s">
        <v>63</v>
      </c>
      <c r="E7" s="225">
        <f>(L14+L15+L16)</f>
        <v>437465.16950000002</v>
      </c>
      <c r="F7" s="70" t="s">
        <v>63</v>
      </c>
      <c r="G7" s="226">
        <f>(Q14+Q15+Q16)</f>
        <v>262310.2095</v>
      </c>
      <c r="S7" s="16"/>
    </row>
    <row r="8" spans="2:24" ht="28.8" x14ac:dyDescent="0.3">
      <c r="B8" s="46" t="s">
        <v>53</v>
      </c>
      <c r="C8" s="20">
        <f>H15</f>
        <v>421877.63</v>
      </c>
      <c r="D8" s="83" t="s">
        <v>53</v>
      </c>
      <c r="E8" s="225">
        <f>L16</f>
        <v>121319.92</v>
      </c>
      <c r="F8" s="71" t="s">
        <v>53</v>
      </c>
      <c r="G8" s="226">
        <f>Q16</f>
        <v>52748</v>
      </c>
    </row>
    <row r="9" spans="2:24" x14ac:dyDescent="0.3">
      <c r="B9" s="24" t="s">
        <v>42</v>
      </c>
      <c r="C9" s="20">
        <f>(C8+C7)-C6</f>
        <v>-575667.83333333326</v>
      </c>
      <c r="D9" s="81" t="s">
        <v>42</v>
      </c>
      <c r="E9" s="91">
        <f>(E8+E7)-E6</f>
        <v>-94881.577166666626</v>
      </c>
      <c r="F9" s="21" t="s">
        <v>42</v>
      </c>
      <c r="G9" s="72">
        <f>(G8+G7)-G6</f>
        <v>-11775.123833333317</v>
      </c>
    </row>
    <row r="10" spans="2:24" ht="15" thickBot="1" x14ac:dyDescent="0.35">
      <c r="B10" s="25" t="s">
        <v>2</v>
      </c>
      <c r="C10" s="26">
        <f>C9/C6</f>
        <v>-0.46875803258825294</v>
      </c>
      <c r="D10" s="81" t="s">
        <v>2</v>
      </c>
      <c r="E10" s="105">
        <f>E9/E6</f>
        <v>-0.14515284625191224</v>
      </c>
      <c r="F10" s="21" t="s">
        <v>2</v>
      </c>
      <c r="G10" s="73">
        <f>G9/G6</f>
        <v>-3.6027915859255431E-2</v>
      </c>
    </row>
    <row r="11" spans="2:24" x14ac:dyDescent="0.3">
      <c r="B11" s="17"/>
      <c r="C11" s="17"/>
      <c r="D11" s="16"/>
    </row>
    <row r="12" spans="2:24" x14ac:dyDescent="0.3">
      <c r="B12" s="93" t="s">
        <v>62</v>
      </c>
      <c r="C12" s="93"/>
      <c r="D12" s="94"/>
      <c r="E12" s="95"/>
      <c r="F12" s="40" t="s">
        <v>61</v>
      </c>
      <c r="G12" s="40"/>
      <c r="H12" s="40"/>
      <c r="I12" s="40"/>
      <c r="J12" s="41"/>
      <c r="K12" s="41"/>
      <c r="L12" s="41"/>
      <c r="M12" s="41"/>
      <c r="N12" s="41"/>
      <c r="O12" s="41"/>
      <c r="P12" s="40"/>
      <c r="Q12" s="42"/>
      <c r="R12" s="42"/>
      <c r="S12" s="41"/>
      <c r="T12" s="42"/>
    </row>
    <row r="13" spans="2:24" s="18" customFormat="1" x14ac:dyDescent="0.3">
      <c r="B13" s="63"/>
      <c r="C13" s="65" t="s">
        <v>4</v>
      </c>
      <c r="D13" s="66" t="s">
        <v>7</v>
      </c>
      <c r="E13" s="66" t="s">
        <v>43</v>
      </c>
      <c r="F13" s="52"/>
      <c r="G13" s="52" t="s">
        <v>37</v>
      </c>
      <c r="H13" s="52" t="s">
        <v>38</v>
      </c>
      <c r="I13" s="52" t="s">
        <v>39</v>
      </c>
      <c r="J13" s="53" t="s">
        <v>41</v>
      </c>
      <c r="K13" s="92" t="s">
        <v>68</v>
      </c>
      <c r="L13" s="92" t="s">
        <v>69</v>
      </c>
      <c r="M13" s="92" t="s">
        <v>70</v>
      </c>
      <c r="N13" s="92" t="s">
        <v>8</v>
      </c>
      <c r="O13" s="74"/>
      <c r="P13" s="54" t="s">
        <v>45</v>
      </c>
      <c r="Q13" s="55" t="s">
        <v>46</v>
      </c>
      <c r="R13" s="54" t="s">
        <v>40</v>
      </c>
      <c r="S13" s="56" t="s">
        <v>8</v>
      </c>
      <c r="T13" s="11"/>
    </row>
    <row r="14" spans="2:24" x14ac:dyDescent="0.3">
      <c r="B14" s="49">
        <v>46023</v>
      </c>
      <c r="C14" s="67">
        <f>SUMIF('Booking &amp; Billing Forecast'!O:O,Summary!B:B,'Booking &amp; Billing Forecast'!G:G)</f>
        <v>6950</v>
      </c>
      <c r="D14" s="68">
        <f>SUMIF('Booking &amp; Billing Forecast'!O:O,Summary!B:B,'Booking &amp; Billing Forecast'!I:I)</f>
        <v>6950</v>
      </c>
      <c r="E14" s="68">
        <f>SUMIF('Booking &amp; Billing Forecast'!O:O,Summary!B:B,'Booking &amp; Billing Forecast'!M:M)</f>
        <v>2085</v>
      </c>
      <c r="F14" s="49">
        <v>46023</v>
      </c>
      <c r="G14" s="20">
        <f>C5/12*1</f>
        <v>307017.58333333331</v>
      </c>
      <c r="H14" s="33">
        <f>SUM('Booking &amp; Billing Forecast'!Q:Q)</f>
        <v>230524.87000000002</v>
      </c>
      <c r="I14" s="32">
        <f>H14-G14</f>
        <v>-76492.713333333289</v>
      </c>
      <c r="J14" s="36">
        <f>I14/G14</f>
        <v>-0.2491476628238718</v>
      </c>
      <c r="K14" s="104">
        <f>E5/12*1</f>
        <v>163416.66666666666</v>
      </c>
      <c r="L14" s="1">
        <f>SUM('Booking &amp; Billing Forecast'!R:R)</f>
        <v>122528.09000000001</v>
      </c>
      <c r="M14" s="77">
        <f>L14-K14</f>
        <v>-40888.576666666646</v>
      </c>
      <c r="N14" s="76">
        <f>M14/K14</f>
        <v>-0.25021056603773573</v>
      </c>
      <c r="O14" s="76"/>
      <c r="P14" s="4">
        <f>G5/12*1</f>
        <v>81708.333333333328</v>
      </c>
      <c r="Q14" s="34">
        <f>SUM('Booking &amp; Billing Forecast'!S:S)</f>
        <v>86618.209999999992</v>
      </c>
      <c r="R14" s="3">
        <f>Q14-P14</f>
        <v>4909.8766666666634</v>
      </c>
      <c r="S14" s="38">
        <f>R14/P14</f>
        <v>6.0090280469148355E-2</v>
      </c>
      <c r="T14" s="51"/>
      <c r="U14" s="13"/>
      <c r="V14" s="13"/>
    </row>
    <row r="15" spans="2:24" x14ac:dyDescent="0.3">
      <c r="B15" s="49">
        <v>46054</v>
      </c>
      <c r="C15" s="67">
        <f>SUMIF('Booking &amp; Billing Forecast'!O:O,Summary!B:B,'Booking &amp; Billing Forecast'!G:G)</f>
        <v>311787.40999999997</v>
      </c>
      <c r="D15" s="68">
        <f>SUMIF('Booking &amp; Billing Forecast'!O:O,Summary!B:B,'Booking &amp; Billing Forecast'!I:I)</f>
        <v>129011.42013324001</v>
      </c>
      <c r="E15" s="68">
        <f>SUMIF('Booking &amp; Billing Forecast'!O:O,Summary!B:B,'Booking &amp; Billing Forecast'!M:M)</f>
        <v>64505.710066620006</v>
      </c>
      <c r="F15" s="49">
        <v>46054</v>
      </c>
      <c r="G15" s="20">
        <f>C5/12*2</f>
        <v>614035.16666666663</v>
      </c>
      <c r="H15" s="33">
        <f>SUM('Booking &amp; Billing Forecast'!T:T)</f>
        <v>421877.63</v>
      </c>
      <c r="I15" s="32">
        <f>SUM(H14:H15)-G15</f>
        <v>38367.333333333372</v>
      </c>
      <c r="J15" s="36">
        <f t="shared" ref="J15:J25" si="0">I15/G15</f>
        <v>6.248393482349416E-2</v>
      </c>
      <c r="K15" s="75">
        <f>E5/12*2</f>
        <v>326833.33333333331</v>
      </c>
      <c r="L15" s="2">
        <f>SUM('Booking &amp; Billing Forecast'!U:U)</f>
        <v>193617.15950000001</v>
      </c>
      <c r="M15" s="77">
        <f>SUM(L14:L15)-K15</f>
        <v>-10688.083833333279</v>
      </c>
      <c r="N15" s="76">
        <f t="shared" ref="N15:N25" si="1">M15/K15</f>
        <v>-3.2701939316675005E-2</v>
      </c>
      <c r="O15" s="76"/>
      <c r="P15" s="4">
        <f>G5/12*2</f>
        <v>163416.66666666666</v>
      </c>
      <c r="Q15" s="34">
        <f>SUM('Booking &amp; Billing Forecast'!V:V)</f>
        <v>122943.99950000001</v>
      </c>
      <c r="R15" s="3">
        <f>SUM(Q14:Q15)-P15</f>
        <v>46145.54283333334</v>
      </c>
      <c r="S15" s="38">
        <f>R15/P15</f>
        <v>0.28237966037735857</v>
      </c>
      <c r="T15" s="51"/>
      <c r="U15" s="12">
        <v>122944</v>
      </c>
      <c r="V15" s="13">
        <f>U15-Q15</f>
        <v>4.999999946448952E-4</v>
      </c>
      <c r="W15" s="13"/>
      <c r="X15" s="13"/>
    </row>
    <row r="16" spans="2:24" x14ac:dyDescent="0.3">
      <c r="B16" s="49">
        <v>46082</v>
      </c>
      <c r="C16" s="67">
        <f>SUMIF('Booking &amp; Billing Forecast'!O:O,Summary!B:B,'Booking &amp; Billing Forecast'!G:G)</f>
        <v>367200</v>
      </c>
      <c r="D16" s="68">
        <f>SUMIF('Booking &amp; Billing Forecast'!O:O,Summary!B:B,'Booking &amp; Billing Forecast'!I:I)</f>
        <v>367200</v>
      </c>
      <c r="E16" s="68">
        <f>SUMIF('Booking &amp; Billing Forecast'!O:O,Summary!B:B,'Booking &amp; Billing Forecast'!M:M)</f>
        <v>108000</v>
      </c>
      <c r="F16" s="49">
        <v>46082</v>
      </c>
      <c r="G16" s="20">
        <f>C5/12*3</f>
        <v>921052.75</v>
      </c>
      <c r="H16" s="33">
        <f>SUM('Booking &amp; Billing Forecast'!W:W)</f>
        <v>249728.34</v>
      </c>
      <c r="I16" s="32">
        <f>SUM(H14:H16)-G16</f>
        <v>-18921.910000000033</v>
      </c>
      <c r="J16" s="36">
        <f t="shared" si="0"/>
        <v>-2.0543785358656204E-2</v>
      </c>
      <c r="K16" s="75">
        <f>E5/12*3</f>
        <v>490250</v>
      </c>
      <c r="L16" s="2">
        <f>SUM('Booking &amp; Billing Forecast'!X:X)</f>
        <v>121319.92</v>
      </c>
      <c r="M16" s="77">
        <f>SUM(L14:L16)-K16</f>
        <v>-52784.830499999982</v>
      </c>
      <c r="N16" s="76">
        <f t="shared" si="1"/>
        <v>-0.10766921060683321</v>
      </c>
      <c r="O16" s="76"/>
      <c r="P16" s="4">
        <f>G5/12*3</f>
        <v>245125</v>
      </c>
      <c r="Q16" s="57">
        <f>SUM('Booking &amp; Billing Forecast'!Y:Y)</f>
        <v>52748</v>
      </c>
      <c r="R16" s="3">
        <f>SUM(Q14:Q16)-P16</f>
        <v>17185.209499999997</v>
      </c>
      <c r="S16" s="38">
        <f t="shared" ref="S16:S25" si="2">R16/P16</f>
        <v>7.0107942886282498E-2</v>
      </c>
      <c r="T16" s="51" t="s">
        <v>9</v>
      </c>
      <c r="U16" s="12">
        <v>38341</v>
      </c>
      <c r="V16" s="13">
        <f>U16-Q16</f>
        <v>-14407</v>
      </c>
      <c r="W16" s="13"/>
    </row>
    <row r="17" spans="2:24" x14ac:dyDescent="0.3">
      <c r="B17" s="49">
        <v>46113</v>
      </c>
      <c r="C17" s="67">
        <f>SUMIF('Booking &amp; Billing Forecast'!O:O,Summary!B:B,'Booking &amp; Billing Forecast'!G:G)</f>
        <v>312058</v>
      </c>
      <c r="D17" s="68">
        <f>SUMIF('Booking &amp; Billing Forecast'!O:O,Summary!B:B,'Booking &amp; Billing Forecast'!I:I)</f>
        <v>204819.83600000001</v>
      </c>
      <c r="E17" s="68">
        <f>SUMIF('Booking &amp; Billing Forecast'!O:O,Summary!B:B,'Booking &amp; Billing Forecast'!M:M)</f>
        <v>37389.917999999998</v>
      </c>
      <c r="F17" s="49">
        <v>46113</v>
      </c>
      <c r="G17" s="20">
        <f>C5/12*4</f>
        <v>1228070.3333333333</v>
      </c>
      <c r="H17" s="33">
        <f>SUM('Booking &amp; Billing Forecast'!Z:Z)</f>
        <v>225649.32</v>
      </c>
      <c r="I17" s="32">
        <f>SUM(H14:H17)-G17</f>
        <v>-100290.17333333334</v>
      </c>
      <c r="J17" s="36">
        <f t="shared" si="0"/>
        <v>-8.1664844928805658E-2</v>
      </c>
      <c r="K17" s="75">
        <f>E5/12*4</f>
        <v>653666.66666666663</v>
      </c>
      <c r="L17" s="2">
        <f>SUM('Booking &amp; Billing Forecast'!AA:AA)</f>
        <v>187137.06</v>
      </c>
      <c r="M17" s="77">
        <f>SUM(L14:L17)-K17</f>
        <v>-29064.437166666612</v>
      </c>
      <c r="N17" s="76">
        <f t="shared" si="1"/>
        <v>-4.4463697858235514E-2</v>
      </c>
      <c r="O17" s="76"/>
      <c r="P17" s="4">
        <f>G5/12*4</f>
        <v>326833.33333333331</v>
      </c>
      <c r="Q17" s="34">
        <f>SUM('Booking &amp; Billing Forecast'!AB:AB)</f>
        <v>86904.21</v>
      </c>
      <c r="R17" s="3">
        <f>SUM(Q14:Q17)-P17</f>
        <v>22381.086166666704</v>
      </c>
      <c r="S17" s="38">
        <f t="shared" si="2"/>
        <v>6.8478591024987365E-2</v>
      </c>
      <c r="T17" s="51"/>
      <c r="V17" s="13"/>
    </row>
    <row r="18" spans="2:24" x14ac:dyDescent="0.3">
      <c r="B18" s="49">
        <v>46143</v>
      </c>
      <c r="C18" s="67">
        <f>SUMIF('Booking &amp; Billing Forecast'!O:O,Summary!B:B,'Booking &amp; Billing Forecast'!G:G)</f>
        <v>284500</v>
      </c>
      <c r="D18" s="68">
        <f>SUMIF('Booking &amp; Billing Forecast'!O:O,Summary!B:B,'Booking &amp; Billing Forecast'!I:I)</f>
        <v>249536.8</v>
      </c>
      <c r="E18" s="68">
        <f>SUMIF('Booking &amp; Billing Forecast'!O:O,Summary!B:B,'Booking &amp; Billing Forecast'!M:M)</f>
        <v>80368.399999999994</v>
      </c>
      <c r="F18" s="49">
        <v>46143</v>
      </c>
      <c r="G18" s="20">
        <f>C5/12*5</f>
        <v>1535087.9166666665</v>
      </c>
      <c r="H18" s="33">
        <f>SUM('Booking &amp; Billing Forecast'!AC:AC)</f>
        <v>438399.52</v>
      </c>
      <c r="I18" s="32">
        <f>SUM(H14:H18)-G18</f>
        <v>31091.763333333423</v>
      </c>
      <c r="J18" s="36">
        <f t="shared" si="0"/>
        <v>2.0254060367335156E-2</v>
      </c>
      <c r="K18" s="75">
        <f>E5/12*5</f>
        <v>817083.33333333326</v>
      </c>
      <c r="L18" s="2">
        <f>SUM('Booking &amp; Billing Forecast'!AD:AD)</f>
        <v>280314.63</v>
      </c>
      <c r="M18" s="77">
        <f>SUM(L14:L18)-K18</f>
        <v>87833.526166666765</v>
      </c>
      <c r="N18" s="76">
        <f t="shared" si="1"/>
        <v>0.10749641142274363</v>
      </c>
      <c r="O18" s="76"/>
      <c r="P18" s="4">
        <f>G5/12*5</f>
        <v>408541.66666666663</v>
      </c>
      <c r="Q18" s="34">
        <f>SUM('Booking &amp; Billing Forecast'!AE:AE)</f>
        <v>103099.26499999998</v>
      </c>
      <c r="R18" s="3">
        <f>SUM(Q14:Q18)-P18</f>
        <v>43772.017833333346</v>
      </c>
      <c r="S18" s="38">
        <f t="shared" si="2"/>
        <v>0.10714211402345745</v>
      </c>
      <c r="T18" s="51"/>
      <c r="V18" s="13"/>
    </row>
    <row r="19" spans="2:24" x14ac:dyDescent="0.3">
      <c r="B19" s="49">
        <v>46174</v>
      </c>
      <c r="C19" s="67">
        <f>SUMIF('Booking &amp; Billing Forecast'!O:O,Summary!B:B,'Booking &amp; Billing Forecast'!G:G)</f>
        <v>0</v>
      </c>
      <c r="D19" s="68">
        <f>SUMIF('Booking &amp; Billing Forecast'!O:O,Summary!B:B,'Booking &amp; Billing Forecast'!I:I)</f>
        <v>0</v>
      </c>
      <c r="E19" s="68">
        <f>SUMIF('Booking &amp; Billing Forecast'!O:O,Summary!B:B,'Booking &amp; Billing Forecast'!M:M)</f>
        <v>0</v>
      </c>
      <c r="F19" s="49">
        <v>46174</v>
      </c>
      <c r="G19" s="20">
        <f>C5/12*6</f>
        <v>1842105.5</v>
      </c>
      <c r="H19" s="33">
        <f>SUM('Booking &amp; Billing Forecast'!AF:AF)</f>
        <v>202448.66</v>
      </c>
      <c r="I19" s="32">
        <f>SUM(H14:H19)-G19</f>
        <v>-73477.160000000149</v>
      </c>
      <c r="J19" s="36">
        <f t="shared" si="0"/>
        <v>-3.988759601445202E-2</v>
      </c>
      <c r="K19" s="75">
        <f>E5/12*6</f>
        <v>980500</v>
      </c>
      <c r="L19" s="2">
        <f>SUM('Booking &amp; Billing Forecast'!AG:AG)</f>
        <v>71708.06</v>
      </c>
      <c r="M19" s="77">
        <f>SUM(L14:L19)-K19</f>
        <v>-3875.0804999999236</v>
      </c>
      <c r="N19" s="76">
        <f t="shared" si="1"/>
        <v>-3.9521473737888051E-3</v>
      </c>
      <c r="O19" s="76"/>
      <c r="P19" s="4">
        <f>G5/12*6</f>
        <v>490250</v>
      </c>
      <c r="Q19" s="34">
        <f>SUM('Booking &amp; Billing Forecast'!AH:AH)</f>
        <v>35860.94</v>
      </c>
      <c r="R19" s="3">
        <f>SUM(Q14:Q19)-P19</f>
        <v>-2075.3755000000237</v>
      </c>
      <c r="S19" s="38">
        <f t="shared" si="2"/>
        <v>-4.2333003569607827E-3</v>
      </c>
      <c r="T19" s="51" t="s">
        <v>10</v>
      </c>
      <c r="V19" s="13"/>
    </row>
    <row r="20" spans="2:24" x14ac:dyDescent="0.3">
      <c r="B20" s="49">
        <v>46204</v>
      </c>
      <c r="C20" s="67">
        <f>SUMIF('Booking &amp; Billing Forecast'!O:O,Summary!B:B,'Booking &amp; Billing Forecast'!G:G)</f>
        <v>0</v>
      </c>
      <c r="D20" s="68">
        <f>SUMIF('Booking &amp; Billing Forecast'!O:O,Summary!B:B,'Booking &amp; Billing Forecast'!I:I)</f>
        <v>0</v>
      </c>
      <c r="E20" s="68">
        <f>SUMIF('Booking &amp; Billing Forecast'!O:O,Summary!B:B,'Booking &amp; Billing Forecast'!M:M)</f>
        <v>0</v>
      </c>
      <c r="F20" s="49">
        <v>46204</v>
      </c>
      <c r="G20" s="20">
        <f>C5/12*7</f>
        <v>2149123.083333333</v>
      </c>
      <c r="H20" s="33">
        <f>SUM('Booking &amp; Billing Forecast'!AI:AI)</f>
        <v>85542.66</v>
      </c>
      <c r="I20" s="32">
        <f>SUM(H14:H20)-G20</f>
        <v>-294952.08333333326</v>
      </c>
      <c r="J20" s="36">
        <f t="shared" si="0"/>
        <v>-0.13724299255855399</v>
      </c>
      <c r="K20" s="75">
        <f>E5/12*7</f>
        <v>1143916.6666666665</v>
      </c>
      <c r="L20" s="2">
        <f>SUM('Booking &amp; Billing Forecast'!AJ:AJ)</f>
        <v>71349.06</v>
      </c>
      <c r="M20" s="77">
        <f>SUM(L14:L20)-K20</f>
        <v>-95942.687166666379</v>
      </c>
      <c r="N20" s="76">
        <f t="shared" si="1"/>
        <v>-8.3872094849566314E-2</v>
      </c>
      <c r="O20" s="76"/>
      <c r="P20" s="4">
        <f>G5/12*7</f>
        <v>571958.33333333326</v>
      </c>
      <c r="Q20" s="34">
        <f>SUM('Booking &amp; Billing Forecast'!AK:AK)</f>
        <v>22597.54</v>
      </c>
      <c r="R20" s="3">
        <f>SUM(Q14:Q20)-P20</f>
        <v>-61186.1688333333</v>
      </c>
      <c r="S20" s="38">
        <f t="shared" si="2"/>
        <v>-0.10697661921760031</v>
      </c>
      <c r="T20" s="51"/>
      <c r="V20" s="13"/>
      <c r="W20" s="13">
        <f>52748-Q16</f>
        <v>0</v>
      </c>
    </row>
    <row r="21" spans="2:24" x14ac:dyDescent="0.3">
      <c r="B21" s="49">
        <v>46235</v>
      </c>
      <c r="C21" s="67">
        <f>SUMIF('Booking &amp; Billing Forecast'!O:O,Summary!B:B,'Booking &amp; Billing Forecast'!G:G)</f>
        <v>0</v>
      </c>
      <c r="D21" s="68">
        <f>SUMIF('Booking &amp; Billing Forecast'!O:O,Summary!B:B,'Booking &amp; Billing Forecast'!I:I)</f>
        <v>0</v>
      </c>
      <c r="E21" s="68">
        <f>SUMIF('Booking &amp; Billing Forecast'!O:O,Summary!B:B,'Booking &amp; Billing Forecast'!M:M)</f>
        <v>0</v>
      </c>
      <c r="F21" s="49">
        <v>46235</v>
      </c>
      <c r="G21" s="20">
        <f>C5/12*8</f>
        <v>2456140.6666666665</v>
      </c>
      <c r="H21" s="33">
        <f>SUM('Booking &amp; Billing Forecast'!AL:AL)</f>
        <v>85542.66</v>
      </c>
      <c r="I21" s="32">
        <f>SUM(H14:H21)-G21</f>
        <v>-516427.00666666683</v>
      </c>
      <c r="J21" s="36">
        <f t="shared" si="0"/>
        <v>-0.21025953996663066</v>
      </c>
      <c r="K21" s="75">
        <f>E5/12*8</f>
        <v>1307333.3333333333</v>
      </c>
      <c r="L21" s="2">
        <f>SUM('Booking &amp; Billing Forecast'!AM:AM)</f>
        <v>71349.06</v>
      </c>
      <c r="M21" s="77">
        <f>SUM(L14:L21)-K21</f>
        <v>-188010.29383333307</v>
      </c>
      <c r="N21" s="76">
        <f t="shared" si="1"/>
        <v>-0.14381205545639961</v>
      </c>
      <c r="O21" s="76"/>
      <c r="P21" s="4">
        <f>G5/12*8</f>
        <v>653666.66666666663</v>
      </c>
      <c r="Q21" s="34">
        <f>SUM('Booking &amp; Billing Forecast'!AN:AN)</f>
        <v>22597.54</v>
      </c>
      <c r="R21" s="3">
        <f>SUM(Q14:Q21)-P21</f>
        <v>-120296.96216666664</v>
      </c>
      <c r="S21" s="38">
        <f t="shared" si="2"/>
        <v>-0.18403410836308001</v>
      </c>
      <c r="T21" s="51"/>
      <c r="V21" s="13"/>
    </row>
    <row r="22" spans="2:24" x14ac:dyDescent="0.3">
      <c r="B22" s="49">
        <v>46266</v>
      </c>
      <c r="C22" s="67">
        <f>SUMIF('Booking &amp; Billing Forecast'!O:O,Summary!B:B,'Booking &amp; Billing Forecast'!G:G)</f>
        <v>0</v>
      </c>
      <c r="D22" s="68">
        <f>SUMIF('Booking &amp; Billing Forecast'!O:O,Summary!B:B,'Booking &amp; Billing Forecast'!I:I)</f>
        <v>0</v>
      </c>
      <c r="E22" s="68">
        <f>SUMIF('Booking &amp; Billing Forecast'!O:O,Summary!B:B,'Booking &amp; Billing Forecast'!M:M)</f>
        <v>0</v>
      </c>
      <c r="F22" s="49">
        <v>46266</v>
      </c>
      <c r="G22" s="20">
        <f>C5/12*9</f>
        <v>2763158.25</v>
      </c>
      <c r="H22" s="33">
        <f>SUM('Booking &amp; Billing Forecast'!AO:AO)</f>
        <v>43346.66</v>
      </c>
      <c r="I22" s="32">
        <f>SUM(H14:H22)-G22</f>
        <v>-780097.9300000004</v>
      </c>
      <c r="J22" s="36">
        <f t="shared" si="0"/>
        <v>-0.28232111932061815</v>
      </c>
      <c r="K22" s="75">
        <f>E5/12*9</f>
        <v>1470750</v>
      </c>
      <c r="L22" s="2">
        <f>SUM('Booking &amp; Billing Forecast'!AP:AP)</f>
        <v>40433.06</v>
      </c>
      <c r="M22" s="77">
        <f>SUM(L14:L22)-K22</f>
        <v>-310993.90049999976</v>
      </c>
      <c r="N22" s="76">
        <f t="shared" si="1"/>
        <v>-0.2114525925548188</v>
      </c>
      <c r="O22" s="76"/>
      <c r="P22" s="4">
        <f>G5/12*9</f>
        <v>735375</v>
      </c>
      <c r="Q22" s="34">
        <f>SUM('Booking &amp; Billing Forecast'!AQ:AQ)</f>
        <v>18716.54</v>
      </c>
      <c r="R22" s="3">
        <f>SUM(Q14:Q22)-P22</f>
        <v>-183288.75549999997</v>
      </c>
      <c r="S22" s="38">
        <f t="shared" si="2"/>
        <v>-0.24924529049804517</v>
      </c>
      <c r="T22" s="51" t="s">
        <v>11</v>
      </c>
      <c r="V22" s="13"/>
    </row>
    <row r="23" spans="2:24" x14ac:dyDescent="0.3">
      <c r="B23" s="49">
        <v>46296</v>
      </c>
      <c r="C23" s="67">
        <f>SUMIF('Booking &amp; Billing Forecast'!O:O,Summary!B:B,'Booking &amp; Billing Forecast'!G:G)</f>
        <v>0</v>
      </c>
      <c r="D23" s="68">
        <f>SUMIF('Booking &amp; Billing Forecast'!O:O,Summary!B:B,'Booking &amp; Billing Forecast'!I:I)</f>
        <v>0</v>
      </c>
      <c r="E23" s="68">
        <f>SUMIF('Booking &amp; Billing Forecast'!O:O,Summary!B:B,'Booking &amp; Billing Forecast'!M:M)</f>
        <v>0</v>
      </c>
      <c r="F23" s="49">
        <v>46296</v>
      </c>
      <c r="G23" s="20">
        <f>C5/12*10</f>
        <v>3070175.833333333</v>
      </c>
      <c r="H23" s="33">
        <f>SUM('Booking &amp; Billing Forecast'!AR:AR)</f>
        <v>19816.66</v>
      </c>
      <c r="I23" s="32">
        <f>SUM(H14:H23)-G23</f>
        <v>-1067298.8533333335</v>
      </c>
      <c r="J23" s="36">
        <f t="shared" si="0"/>
        <v>-0.34763443896128648</v>
      </c>
      <c r="K23" s="75">
        <f>E5/12*10</f>
        <v>1634166.6666666665</v>
      </c>
      <c r="L23" s="2">
        <f>SUM('Booking &amp; Billing Forecast'!AS:AS)</f>
        <v>16903.059999999998</v>
      </c>
      <c r="M23" s="77">
        <f>SUM(L14:L23)-K23</f>
        <v>-457507.50716666621</v>
      </c>
      <c r="N23" s="76">
        <f t="shared" si="1"/>
        <v>-0.27996379836817925</v>
      </c>
      <c r="O23" s="76"/>
      <c r="P23" s="4">
        <f>G5/12*10</f>
        <v>817083.33333333326</v>
      </c>
      <c r="Q23" s="34">
        <f>SUM('Booking &amp; Billing Forecast'!AT:AT)</f>
        <v>8626.5400000000009</v>
      </c>
      <c r="R23" s="3">
        <f>SUM(Q14:Q23)-P23</f>
        <v>-256370.54883333319</v>
      </c>
      <c r="S23" s="38">
        <f t="shared" si="2"/>
        <v>-0.31376303783783771</v>
      </c>
      <c r="T23" s="45"/>
      <c r="V23" s="13"/>
    </row>
    <row r="24" spans="2:24" x14ac:dyDescent="0.3">
      <c r="B24" s="49">
        <v>46327</v>
      </c>
      <c r="C24" s="67">
        <f>SUMIF('Booking &amp; Billing Forecast'!O:O,Summary!B:B,'Booking &amp; Billing Forecast'!G:G)</f>
        <v>0</v>
      </c>
      <c r="D24" s="68">
        <f>SUMIF('Booking &amp; Billing Forecast'!O:O,Summary!B:B,'Booking &amp; Billing Forecast'!I:I)</f>
        <v>0</v>
      </c>
      <c r="E24" s="68">
        <f>SUMIF('Booking &amp; Billing Forecast'!O:O,Summary!B:B,'Booking &amp; Billing Forecast'!M:M)</f>
        <v>0</v>
      </c>
      <c r="F24" s="49">
        <v>46327</v>
      </c>
      <c r="G24" s="20">
        <f>C5/12*11</f>
        <v>3377193.4166666665</v>
      </c>
      <c r="H24" s="33">
        <f>SUM('Booking &amp; Billing Forecast'!AU:AU)</f>
        <v>19816.66</v>
      </c>
      <c r="I24" s="32">
        <f>SUM(H14:H24)-G24</f>
        <v>-1354499.7766666671</v>
      </c>
      <c r="J24" s="36">
        <f t="shared" si="0"/>
        <v>-0.40107260957637891</v>
      </c>
      <c r="K24" s="75">
        <f>E5/12*11</f>
        <v>1797583.3333333333</v>
      </c>
      <c r="L24" s="2">
        <f>SUM('Booking &amp; Billing Forecast'!AV:AV)</f>
        <v>16903.059999999998</v>
      </c>
      <c r="M24" s="77">
        <f>SUM(L14:L24)-K24</f>
        <v>-604021.1138333329</v>
      </c>
      <c r="N24" s="76">
        <f t="shared" si="1"/>
        <v>-0.33601842130638332</v>
      </c>
      <c r="O24" s="76"/>
      <c r="P24" s="4">
        <f>G5/12*11</f>
        <v>898791.66666666663</v>
      </c>
      <c r="Q24" s="34">
        <f>SUM('Booking &amp; Billing Forecast'!AW:AW)</f>
        <v>8626.5400000000009</v>
      </c>
      <c r="R24" s="3">
        <f>SUM(Q14:Q24)-P24</f>
        <v>-329452.34216666652</v>
      </c>
      <c r="S24" s="38">
        <f t="shared" si="2"/>
        <v>-0.36655028566130438</v>
      </c>
      <c r="T24" s="51"/>
      <c r="V24" s="13"/>
    </row>
    <row r="25" spans="2:24" x14ac:dyDescent="0.3">
      <c r="B25" s="49">
        <v>46357</v>
      </c>
      <c r="C25" s="67">
        <f>SUMIF('Booking &amp; Billing Forecast'!O:O,Summary!B:B,'Booking &amp; Billing Forecast'!G:G)</f>
        <v>0</v>
      </c>
      <c r="D25" s="68">
        <f>SUMIF('Booking &amp; Billing Forecast'!O:O,Summary!B:B,'Booking &amp; Billing Forecast'!I:I)</f>
        <v>0</v>
      </c>
      <c r="E25" s="68">
        <f>SUMIF('Booking &amp; Billing Forecast'!O:O,Summary!B:B,'Booking &amp; Billing Forecast'!M:M)</f>
        <v>0</v>
      </c>
      <c r="F25" s="49">
        <v>46357</v>
      </c>
      <c r="G25" s="20">
        <f>C5/12*12</f>
        <v>3684211</v>
      </c>
      <c r="H25" s="33">
        <f>SUM('Booking &amp; Billing Forecast'!AX:AX)</f>
        <v>10650</v>
      </c>
      <c r="I25" s="32">
        <f>SUM(H14:H25)-G25</f>
        <v>-1650867.3600000006</v>
      </c>
      <c r="J25" s="36">
        <f t="shared" si="0"/>
        <v>-0.44809251153096297</v>
      </c>
      <c r="K25" s="75">
        <f>E5/12*12</f>
        <v>1961000</v>
      </c>
      <c r="L25" s="2">
        <f>SUM('Booking &amp; Billing Forecast'!AY:AY)</f>
        <v>7736.4</v>
      </c>
      <c r="M25" s="77">
        <f>SUM(L14:L25)-K25</f>
        <v>-759701.38049999974</v>
      </c>
      <c r="N25" s="76">
        <f t="shared" si="1"/>
        <v>-0.3874050894951554</v>
      </c>
      <c r="O25" s="76"/>
      <c r="P25" s="4">
        <f>G5/12*12</f>
        <v>980500</v>
      </c>
      <c r="Q25" s="34">
        <f>SUM('Booking &amp; Billing Forecast'!AZ:AZ)</f>
        <v>5443.2</v>
      </c>
      <c r="R25" s="3">
        <f>SUM(Q14:Q25)-P25</f>
        <v>-405717.47549999994</v>
      </c>
      <c r="S25" s="38">
        <f t="shared" si="2"/>
        <v>-0.41378630851606318</v>
      </c>
      <c r="T25" s="51" t="s">
        <v>12</v>
      </c>
      <c r="V25" s="13"/>
      <c r="W25" s="13"/>
      <c r="X25" s="13"/>
    </row>
    <row r="26" spans="2:24" x14ac:dyDescent="0.3">
      <c r="B26" s="51"/>
      <c r="C26" s="67">
        <f>SUM(C14:C25)</f>
        <v>1282495.4099999999</v>
      </c>
      <c r="D26" s="67">
        <f>SUM(D14:D25)</f>
        <v>957518.05613324</v>
      </c>
      <c r="E26" s="67">
        <f>SUM(E14:E25)</f>
        <v>292349.02806662</v>
      </c>
      <c r="F26" s="50"/>
      <c r="G26" s="58"/>
      <c r="H26" s="59">
        <f>SUM(H14:H25)</f>
        <v>2033343.6399999994</v>
      </c>
      <c r="I26" s="58"/>
      <c r="J26" s="60"/>
      <c r="K26" s="78"/>
      <c r="L26" s="79">
        <f>SUM(L14:L25)</f>
        <v>1201298.6195000003</v>
      </c>
      <c r="M26" s="78"/>
      <c r="N26" s="78"/>
      <c r="O26" s="78"/>
      <c r="P26" s="61"/>
      <c r="Q26" s="62">
        <f>SUM(Q14:Q25)</f>
        <v>574782.52450000006</v>
      </c>
      <c r="R26" s="61"/>
      <c r="S26" s="38"/>
      <c r="T26" s="51"/>
      <c r="V26" s="13"/>
      <c r="W26" s="13"/>
    </row>
    <row r="27" spans="2:24" x14ac:dyDescent="0.3">
      <c r="H27" s="35"/>
      <c r="Q27" s="13"/>
      <c r="R27" s="15"/>
    </row>
    <row r="28" spans="2:24" x14ac:dyDescent="0.3">
      <c r="Q28" s="10"/>
      <c r="R28" s="19"/>
    </row>
    <row r="29" spans="2:24" ht="18" x14ac:dyDescent="0.3">
      <c r="B29" s="96" t="s">
        <v>50</v>
      </c>
      <c r="C29" s="97"/>
      <c r="D29" s="97"/>
      <c r="E29" s="98"/>
      <c r="F29" s="39"/>
      <c r="Q29" s="10"/>
      <c r="R29" s="10"/>
      <c r="S29" s="16"/>
    </row>
    <row r="30" spans="2:24" x14ac:dyDescent="0.3">
      <c r="B30" s="64" t="s">
        <v>3</v>
      </c>
      <c r="C30" s="86" t="s">
        <v>4</v>
      </c>
      <c r="D30" s="87" t="s">
        <v>7</v>
      </c>
      <c r="E30" s="88" t="s">
        <v>43</v>
      </c>
      <c r="F30" s="43"/>
      <c r="I30" s="12"/>
      <c r="J30" s="37"/>
      <c r="K30" s="37"/>
      <c r="L30" s="37"/>
      <c r="M30" s="37"/>
      <c r="N30" s="37"/>
      <c r="O30" s="37"/>
      <c r="P30" s="12"/>
    </row>
    <row r="31" spans="2:24" x14ac:dyDescent="0.3">
      <c r="B31" s="7">
        <v>0.8</v>
      </c>
      <c r="C31" s="8">
        <f>SUMIF('Opportunity Tracker'!L:L,Summary!B:B,'Opportunity Tracker'!H:H)</f>
        <v>1498215</v>
      </c>
      <c r="D31" s="9">
        <f>SUMIF('Opportunity Tracker'!L:L,Summary!B:B,'Opportunity Tracker'!J:J)</f>
        <v>236766.17</v>
      </c>
      <c r="E31" s="8">
        <f>SUMIF('Opportunity Tracker'!L:L,Summary!B:B,'Opportunity Tracker'!K:K)</f>
        <v>118383.08500000001</v>
      </c>
      <c r="F31" s="208" t="s">
        <v>225</v>
      </c>
      <c r="I31" s="12"/>
      <c r="J31" s="37"/>
      <c r="K31" s="37"/>
      <c r="L31" s="37"/>
      <c r="M31" s="37"/>
      <c r="N31" s="37"/>
      <c r="O31" s="37"/>
      <c r="P31" s="12"/>
    </row>
    <row r="32" spans="2:24" x14ac:dyDescent="0.3">
      <c r="B32" s="7">
        <v>0.5</v>
      </c>
      <c r="C32" s="8">
        <f>SUMIF('Opportunity Tracker'!L:L,Summary!B:B,'Opportunity Tracker'!H:H)</f>
        <v>4379616.9000000004</v>
      </c>
      <c r="D32" s="9">
        <f>SUMIF('Opportunity Tracker'!L:L,Summary!B:B,'Opportunity Tracker'!J:J)</f>
        <v>1637806.1329999999</v>
      </c>
      <c r="E32" s="8">
        <f>SUMIF('Opportunity Tracker'!L:L,Summary!B:B,'Opportunity Tracker'!K:K)</f>
        <v>846553.9665000001</v>
      </c>
      <c r="F32" s="208" t="s">
        <v>232</v>
      </c>
      <c r="I32" s="12"/>
      <c r="J32" s="37"/>
      <c r="K32" s="37"/>
      <c r="L32" s="37"/>
      <c r="M32" s="37"/>
      <c r="N32" s="37"/>
      <c r="O32" s="37"/>
      <c r="P32" s="12"/>
    </row>
    <row r="33" spans="2:16" x14ac:dyDescent="0.3">
      <c r="B33" s="7">
        <v>0.4</v>
      </c>
      <c r="C33" s="8">
        <f>SUMIF('Opportunity Tracker'!L:L,Summary!B:B,'Opportunity Tracker'!H:H)</f>
        <v>0</v>
      </c>
      <c r="D33" s="9">
        <f>SUMIF('Opportunity Tracker'!L:L,Summary!B:B,'Opportunity Tracker'!J:J)</f>
        <v>0</v>
      </c>
      <c r="E33" s="8">
        <f>SUMIF('Opportunity Tracker'!L:L,Summary!B:B,'Opportunity Tracker'!K:K)</f>
        <v>0</v>
      </c>
      <c r="F33" s="44"/>
      <c r="I33" s="12"/>
      <c r="J33" s="37"/>
      <c r="K33" s="37"/>
      <c r="L33" s="37"/>
      <c r="M33" s="37"/>
      <c r="N33" s="37"/>
      <c r="O33" s="37"/>
      <c r="P33" s="12"/>
    </row>
    <row r="34" spans="2:16" x14ac:dyDescent="0.3">
      <c r="B34" s="6" t="s">
        <v>5</v>
      </c>
      <c r="C34" s="8">
        <f>SUMIF('Opportunity Tracker'!L:L,Summary!B:B,'Opportunity Tracker'!H:H)</f>
        <v>0</v>
      </c>
      <c r="D34" s="9">
        <f>SUMIF('Opportunity Tracker'!L:L,Summary!B:B,'Opportunity Tracker'!J:J)</f>
        <v>0</v>
      </c>
      <c r="E34" s="8">
        <f>SUMIF('Opportunity Tracker'!L:L,Summary!B:B,'Opportunity Tracker'!K:K)</f>
        <v>0</v>
      </c>
      <c r="F34" s="44"/>
      <c r="I34" s="12"/>
      <c r="J34" s="37"/>
      <c r="K34" s="37"/>
      <c r="L34" s="37"/>
      <c r="M34" s="37"/>
      <c r="N34" s="37"/>
      <c r="O34" s="37"/>
      <c r="P34" s="12"/>
    </row>
    <row r="35" spans="2:16" x14ac:dyDescent="0.3">
      <c r="B35" s="6" t="s">
        <v>6</v>
      </c>
      <c r="C35" s="8">
        <f>SUMIF('Opportunity Tracker'!L:L,Summary!B:B,'Opportunity Tracker'!H:H)</f>
        <v>0</v>
      </c>
      <c r="D35" s="9">
        <f>SUMIF('Opportunity Tracker'!L:L,Summary!B:B,'Opportunity Tracker'!J:J)</f>
        <v>0</v>
      </c>
      <c r="E35" s="8">
        <f>SUMIF('Opportunity Tracker'!L:L,Summary!B:B,'Opportunity Tracker'!K:K)</f>
        <v>0</v>
      </c>
      <c r="F35" s="44"/>
      <c r="I35" s="12"/>
      <c r="J35" s="37"/>
      <c r="K35" s="37"/>
      <c r="L35" s="37"/>
      <c r="M35" s="37"/>
      <c r="N35" s="37"/>
      <c r="O35" s="37"/>
      <c r="P35" s="12"/>
    </row>
    <row r="36" spans="2:16" x14ac:dyDescent="0.3">
      <c r="B36" s="6" t="s">
        <v>56</v>
      </c>
      <c r="C36" s="8">
        <f>SUMIF('Opportunity Tracker'!L:L,Summary!B:B,'Opportunity Tracker'!H:H)</f>
        <v>0</v>
      </c>
      <c r="D36" s="9">
        <f>SUMIF('Opportunity Tracker'!L:L,Summary!B:B,'Opportunity Tracker'!J:J)</f>
        <v>0</v>
      </c>
      <c r="E36" s="8">
        <f>SUMIF('Opportunity Tracker'!L:L,Summary!B:B,'Opportunity Tracker'!K:K)</f>
        <v>0</v>
      </c>
      <c r="F36" s="44"/>
    </row>
    <row r="37" spans="2:16" ht="28.8" x14ac:dyDescent="0.3">
      <c r="B37" s="89" t="s">
        <v>73</v>
      </c>
      <c r="C37" s="8">
        <f>SUMIF('Opportunity Tracker'!L:L,Summary!B:B,'Opportunity Tracker'!H:H)</f>
        <v>0</v>
      </c>
      <c r="D37" s="9">
        <f>SUMIF('Opportunity Tracker'!L:L,Summary!B:B,'Opportunity Tracker'!J:J)</f>
        <v>0</v>
      </c>
      <c r="E37" s="8">
        <f>SUMIF('Opportunity Tracker'!L:L,Summary!B:B,'Opportunity Tracker'!K:K)</f>
        <v>0</v>
      </c>
    </row>
  </sheetData>
  <conditionalFormatting sqref="A29:B29 B2:D2 G2:XFD2 A3:XFD4 J5:XFD10 A11:XFD28 G29:XFD29">
    <cfRule type="cellIs" dxfId="69" priority="13" operator="lessThan">
      <formula>0</formula>
    </cfRule>
  </conditionalFormatting>
  <conditionalFormatting sqref="B10:B12">
    <cfRule type="cellIs" dxfId="68" priority="29" operator="lessThan">
      <formula>-0.07</formula>
    </cfRule>
    <cfRule type="cellIs" dxfId="67" priority="31" operator="lessThan">
      <formula>0</formula>
    </cfRule>
  </conditionalFormatting>
  <conditionalFormatting sqref="B29">
    <cfRule type="cellIs" dxfId="66" priority="4" operator="lessThan">
      <formula>-0.07</formula>
    </cfRule>
    <cfRule type="cellIs" dxfId="65" priority="5" operator="lessThan">
      <formula>0</formula>
    </cfRule>
  </conditionalFormatting>
  <conditionalFormatting sqref="B6:C6 B8:C9">
    <cfRule type="cellIs" dxfId="64" priority="15" operator="equal">
      <formula>80</formula>
    </cfRule>
  </conditionalFormatting>
  <conditionalFormatting sqref="B30:C30 E30:G30 B31 B33">
    <cfRule type="cellIs" dxfId="63" priority="7" operator="equal">
      <formula>80</formula>
    </cfRule>
  </conditionalFormatting>
  <conditionalFormatting sqref="B5:G5 B7">
    <cfRule type="cellIs" dxfId="62" priority="32" operator="equal">
      <formula>80</formula>
    </cfRule>
  </conditionalFormatting>
  <conditionalFormatting sqref="B5:G10">
    <cfRule type="cellIs" dxfId="61" priority="1" operator="lessThan">
      <formula>0</formula>
    </cfRule>
  </conditionalFormatting>
  <conditionalFormatting sqref="C13:D13">
    <cfRule type="cellIs" dxfId="60" priority="19" operator="equal">
      <formula>80</formula>
    </cfRule>
  </conditionalFormatting>
  <conditionalFormatting sqref="F4 A30:XFD36 A37 C37:XFD37 A38:XFD1048576">
    <cfRule type="cellIs" dxfId="59" priority="6" operator="lessThan">
      <formula>0</formula>
    </cfRule>
  </conditionalFormatting>
  <conditionalFormatting sqref="R14:S25">
    <cfRule type="cellIs" dxfId="58" priority="14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9C9F-D174-41B4-A074-1A99AC213FF3}">
  <dimension ref="A1:BC4857"/>
  <sheetViews>
    <sheetView zoomScaleNormal="100" workbookViewId="0">
      <pane ySplit="2" topLeftCell="A3" activePane="bottomLeft" state="frozen"/>
      <selection pane="bottomLeft" activeCell="P4" sqref="P4"/>
    </sheetView>
  </sheetViews>
  <sheetFormatPr defaultColWidth="11.77734375" defaultRowHeight="14.4" outlineLevelCol="1" x14ac:dyDescent="0.3"/>
  <cols>
    <col min="1" max="1" width="10.88671875" style="173" customWidth="1"/>
    <col min="2" max="2" width="15.6640625" style="186" bestFit="1" customWidth="1"/>
    <col min="3" max="3" width="14.6640625" style="186" bestFit="1" customWidth="1"/>
    <col min="4" max="4" width="38.33203125" style="136" bestFit="1" customWidth="1"/>
    <col min="5" max="5" width="37.44140625" style="175" bestFit="1" customWidth="1"/>
    <col min="6" max="6" width="16.77734375" style="186" bestFit="1" customWidth="1"/>
    <col min="7" max="7" width="16.21875" style="177" bestFit="1" customWidth="1"/>
    <col min="8" max="8" width="6.33203125" style="178" bestFit="1" customWidth="1"/>
    <col min="9" max="9" width="13" style="177" customWidth="1"/>
    <col min="10" max="10" width="11.21875" style="177" customWidth="1"/>
    <col min="11" max="11" width="14.44140625" style="177" bestFit="1" customWidth="1"/>
    <col min="12" max="12" width="12.77734375" style="177" bestFit="1" customWidth="1"/>
    <col min="13" max="13" width="11.21875" style="177" bestFit="1" customWidth="1"/>
    <col min="14" max="14" width="14.88671875" style="179" bestFit="1" customWidth="1" outlineLevel="1"/>
    <col min="15" max="15" width="14.44140625" style="186" bestFit="1" customWidth="1" outlineLevel="1"/>
    <col min="16" max="16" width="66.44140625" style="191" bestFit="1" customWidth="1"/>
    <col min="17" max="17" width="13.6640625" style="158" customWidth="1"/>
    <col min="18" max="18" width="11.21875" style="185" bestFit="1" customWidth="1"/>
    <col min="19" max="19" width="11.21875" style="158" bestFit="1" customWidth="1"/>
    <col min="20" max="20" width="13.33203125" style="158" bestFit="1" customWidth="1"/>
    <col min="21" max="21" width="12.77734375" style="158" bestFit="1" customWidth="1"/>
    <col min="22" max="25" width="13.6640625" style="158" customWidth="1"/>
    <col min="26" max="26" width="13.6640625" style="181" customWidth="1"/>
    <col min="27" max="27" width="11" style="181" customWidth="1"/>
    <col min="28" max="28" width="13.6640625" style="181" customWidth="1"/>
    <col min="29" max="29" width="13.6640625" style="182" customWidth="1"/>
    <col min="30" max="30" width="11.21875" style="182" customWidth="1"/>
    <col min="31" max="31" width="10.44140625" style="182" customWidth="1"/>
    <col min="32" max="32" width="13.33203125" style="182" bestFit="1" customWidth="1"/>
    <col min="33" max="33" width="10.88671875" style="182" customWidth="1"/>
    <col min="34" max="34" width="10.77734375" style="182" customWidth="1"/>
    <col min="35" max="35" width="13.33203125" style="183" bestFit="1" customWidth="1"/>
    <col min="36" max="36" width="11.77734375" style="183" customWidth="1"/>
    <col min="37" max="38" width="13.6640625" style="183" customWidth="1"/>
    <col min="39" max="39" width="10.44140625" style="183" customWidth="1"/>
    <col min="40" max="40" width="10.21875" style="183" bestFit="1" customWidth="1"/>
    <col min="41" max="41" width="13.33203125" style="183" bestFit="1" customWidth="1"/>
    <col min="42" max="42" width="11.88671875" style="183" customWidth="1"/>
    <col min="43" max="43" width="10.88671875" style="183" customWidth="1"/>
    <col min="44" max="44" width="13.33203125" style="184" bestFit="1" customWidth="1"/>
    <col min="45" max="45" width="11.5546875" style="184" customWidth="1"/>
    <col min="46" max="46" width="9.5546875" style="184" bestFit="1" customWidth="1"/>
    <col min="47" max="47" width="13.6640625" style="184" customWidth="1"/>
    <col min="48" max="48" width="11.21875" style="184" customWidth="1"/>
    <col min="49" max="49" width="9.5546875" style="184" bestFit="1" customWidth="1"/>
    <col min="50" max="50" width="13.6640625" style="184" customWidth="1"/>
    <col min="51" max="51" width="10.6640625" style="184" customWidth="1"/>
    <col min="52" max="52" width="9.5546875" style="184" bestFit="1" customWidth="1"/>
    <col min="53" max="16384" width="11.77734375" style="136"/>
  </cols>
  <sheetData>
    <row r="1" spans="1:53" s="111" customFormat="1" x14ac:dyDescent="0.3">
      <c r="A1" s="254" t="s">
        <v>13</v>
      </c>
      <c r="B1" s="252" t="s">
        <v>14</v>
      </c>
      <c r="C1" s="245" t="s">
        <v>15</v>
      </c>
      <c r="D1" s="245" t="s">
        <v>16</v>
      </c>
      <c r="E1" s="245" t="s">
        <v>17</v>
      </c>
      <c r="F1" s="245" t="s">
        <v>18</v>
      </c>
      <c r="G1" s="245" t="s">
        <v>54</v>
      </c>
      <c r="H1" s="250" t="s">
        <v>19</v>
      </c>
      <c r="I1" s="245" t="s">
        <v>7</v>
      </c>
      <c r="J1" s="252" t="s">
        <v>57</v>
      </c>
      <c r="K1" s="245" t="s">
        <v>58</v>
      </c>
      <c r="L1" s="245" t="s">
        <v>59</v>
      </c>
      <c r="M1" s="245" t="s">
        <v>43</v>
      </c>
      <c r="N1" s="245" t="s">
        <v>20</v>
      </c>
      <c r="O1" s="245" t="s">
        <v>21</v>
      </c>
      <c r="P1" s="245" t="s">
        <v>22</v>
      </c>
      <c r="Q1" s="249" t="s">
        <v>23</v>
      </c>
      <c r="R1" s="249"/>
      <c r="S1" s="249"/>
      <c r="T1" s="249" t="s">
        <v>24</v>
      </c>
      <c r="U1" s="249"/>
      <c r="V1" s="249"/>
      <c r="W1" s="249" t="s">
        <v>25</v>
      </c>
      <c r="X1" s="249"/>
      <c r="Y1" s="249"/>
      <c r="Z1" s="247" t="s">
        <v>26</v>
      </c>
      <c r="AA1" s="247"/>
      <c r="AB1" s="247"/>
      <c r="AC1" s="247" t="s">
        <v>27</v>
      </c>
      <c r="AD1" s="247"/>
      <c r="AE1" s="247"/>
      <c r="AF1" s="247" t="s">
        <v>28</v>
      </c>
      <c r="AG1" s="247"/>
      <c r="AH1" s="247"/>
      <c r="AI1" s="248" t="s">
        <v>36</v>
      </c>
      <c r="AJ1" s="248"/>
      <c r="AK1" s="248"/>
      <c r="AL1" s="248" t="s">
        <v>29</v>
      </c>
      <c r="AM1" s="248"/>
      <c r="AN1" s="248"/>
      <c r="AO1" s="248" t="s">
        <v>30</v>
      </c>
      <c r="AP1" s="248"/>
      <c r="AQ1" s="248"/>
      <c r="AR1" s="256" t="s">
        <v>31</v>
      </c>
      <c r="AS1" s="256"/>
      <c r="AT1" s="256"/>
      <c r="AU1" s="256" t="s">
        <v>32</v>
      </c>
      <c r="AV1" s="256"/>
      <c r="AW1" s="256"/>
      <c r="AX1" s="256" t="s">
        <v>33</v>
      </c>
      <c r="AY1" s="256"/>
      <c r="AZ1" s="257"/>
    </row>
    <row r="2" spans="1:53" s="111" customFormat="1" x14ac:dyDescent="0.3">
      <c r="A2" s="255"/>
      <c r="B2" s="253"/>
      <c r="C2" s="246"/>
      <c r="D2" s="246"/>
      <c r="E2" s="246"/>
      <c r="F2" s="246"/>
      <c r="G2" s="246"/>
      <c r="H2" s="251"/>
      <c r="I2" s="246"/>
      <c r="J2" s="253"/>
      <c r="K2" s="246"/>
      <c r="L2" s="246"/>
      <c r="M2" s="246"/>
      <c r="N2" s="246"/>
      <c r="O2" s="246"/>
      <c r="P2" s="246"/>
      <c r="Q2" s="112" t="s">
        <v>44</v>
      </c>
      <c r="R2" s="113" t="s">
        <v>67</v>
      </c>
      <c r="S2" s="112" t="s">
        <v>43</v>
      </c>
      <c r="T2" s="112" t="s">
        <v>44</v>
      </c>
      <c r="U2" s="112" t="s">
        <v>67</v>
      </c>
      <c r="V2" s="112" t="s">
        <v>43</v>
      </c>
      <c r="W2" s="112" t="s">
        <v>44</v>
      </c>
      <c r="X2" s="112" t="s">
        <v>67</v>
      </c>
      <c r="Y2" s="112" t="s">
        <v>43</v>
      </c>
      <c r="Z2" s="114" t="s">
        <v>44</v>
      </c>
      <c r="AA2" s="114" t="s">
        <v>67</v>
      </c>
      <c r="AB2" s="114" t="s">
        <v>43</v>
      </c>
      <c r="AC2" s="114" t="s">
        <v>44</v>
      </c>
      <c r="AD2" s="114" t="s">
        <v>67</v>
      </c>
      <c r="AE2" s="114" t="s">
        <v>43</v>
      </c>
      <c r="AF2" s="114" t="s">
        <v>44</v>
      </c>
      <c r="AG2" s="114" t="s">
        <v>67</v>
      </c>
      <c r="AH2" s="114" t="s">
        <v>43</v>
      </c>
      <c r="AI2" s="115" t="s">
        <v>44</v>
      </c>
      <c r="AJ2" s="115" t="s">
        <v>67</v>
      </c>
      <c r="AK2" s="115" t="s">
        <v>43</v>
      </c>
      <c r="AL2" s="115" t="s">
        <v>44</v>
      </c>
      <c r="AM2" s="115" t="s">
        <v>67</v>
      </c>
      <c r="AN2" s="115" t="s">
        <v>43</v>
      </c>
      <c r="AO2" s="115" t="s">
        <v>44</v>
      </c>
      <c r="AP2" s="115" t="s">
        <v>67</v>
      </c>
      <c r="AQ2" s="115" t="s">
        <v>43</v>
      </c>
      <c r="AR2" s="116" t="s">
        <v>44</v>
      </c>
      <c r="AS2" s="116" t="s">
        <v>67</v>
      </c>
      <c r="AT2" s="116" t="s">
        <v>43</v>
      </c>
      <c r="AU2" s="116" t="s">
        <v>44</v>
      </c>
      <c r="AV2" s="116" t="s">
        <v>67</v>
      </c>
      <c r="AW2" s="116" t="s">
        <v>43</v>
      </c>
      <c r="AX2" s="116" t="s">
        <v>44</v>
      </c>
      <c r="AY2" s="116" t="s">
        <v>67</v>
      </c>
      <c r="AZ2" s="117" t="s">
        <v>43</v>
      </c>
    </row>
    <row r="3" spans="1:53" ht="15" customHeight="1" x14ac:dyDescent="0.3">
      <c r="A3" s="118">
        <v>45808</v>
      </c>
      <c r="B3" s="119" t="s">
        <v>75</v>
      </c>
      <c r="C3" s="120" t="s">
        <v>34</v>
      </c>
      <c r="D3" s="121" t="s">
        <v>76</v>
      </c>
      <c r="E3" s="122" t="s">
        <v>77</v>
      </c>
      <c r="F3" s="123" t="s">
        <v>35</v>
      </c>
      <c r="G3" s="124">
        <v>17000</v>
      </c>
      <c r="H3" s="125">
        <v>1</v>
      </c>
      <c r="I3" s="124">
        <f>H3*G3</f>
        <v>17000</v>
      </c>
      <c r="J3" s="124" t="s">
        <v>60</v>
      </c>
      <c r="K3" s="126">
        <v>0.7</v>
      </c>
      <c r="L3" s="124">
        <f>I3*K3</f>
        <v>11900</v>
      </c>
      <c r="M3" s="124">
        <f>I3-L3</f>
        <v>5100</v>
      </c>
      <c r="N3" s="127"/>
      <c r="O3" s="128"/>
      <c r="P3" s="129" t="s">
        <v>78</v>
      </c>
      <c r="Q3" s="130">
        <v>1416.66</v>
      </c>
      <c r="R3" s="131">
        <v>1416</v>
      </c>
      <c r="S3" s="130">
        <v>425</v>
      </c>
      <c r="T3" s="130">
        <v>1304</v>
      </c>
      <c r="U3" s="130">
        <v>1304</v>
      </c>
      <c r="V3" s="130">
        <v>391</v>
      </c>
      <c r="W3" s="130">
        <v>1444</v>
      </c>
      <c r="X3" s="130">
        <v>1444</v>
      </c>
      <c r="Y3" s="130">
        <v>433</v>
      </c>
      <c r="Z3" s="132">
        <v>1416.66</v>
      </c>
      <c r="AA3" s="132">
        <v>1416</v>
      </c>
      <c r="AB3" s="132">
        <v>425</v>
      </c>
      <c r="AC3" s="132">
        <v>1416.66</v>
      </c>
      <c r="AD3" s="132">
        <v>1416</v>
      </c>
      <c r="AE3" s="132">
        <v>425</v>
      </c>
      <c r="AF3" s="132"/>
      <c r="AG3" s="132"/>
      <c r="AH3" s="132"/>
      <c r="AI3" s="133"/>
      <c r="AJ3" s="133"/>
      <c r="AK3" s="133"/>
      <c r="AL3" s="133"/>
      <c r="AM3" s="133"/>
      <c r="AN3" s="133"/>
      <c r="AO3" s="133"/>
      <c r="AP3" s="133"/>
      <c r="AQ3" s="133"/>
      <c r="AR3" s="134"/>
      <c r="AS3" s="134"/>
      <c r="AT3" s="134"/>
      <c r="AU3" s="134"/>
      <c r="AV3" s="134"/>
      <c r="AW3" s="134"/>
      <c r="AX3" s="134"/>
      <c r="AY3" s="134"/>
      <c r="AZ3" s="135"/>
    </row>
    <row r="4" spans="1:53" ht="15" customHeight="1" x14ac:dyDescent="0.3">
      <c r="A4" s="118">
        <v>45778</v>
      </c>
      <c r="B4" s="119" t="s">
        <v>75</v>
      </c>
      <c r="C4" s="120" t="s">
        <v>34</v>
      </c>
      <c r="D4" s="137" t="s">
        <v>79</v>
      </c>
      <c r="E4" s="122" t="s">
        <v>80</v>
      </c>
      <c r="F4" s="123" t="s">
        <v>35</v>
      </c>
      <c r="G4" s="124">
        <v>144000</v>
      </c>
      <c r="H4" s="125">
        <v>1</v>
      </c>
      <c r="I4" s="124">
        <f t="shared" ref="I4:I35" si="0">H4*G4</f>
        <v>144000</v>
      </c>
      <c r="J4" s="124" t="s">
        <v>60</v>
      </c>
      <c r="K4" s="126">
        <v>0.7</v>
      </c>
      <c r="L4" s="124">
        <v>57600</v>
      </c>
      <c r="M4" s="124">
        <f t="shared" ref="M4:M36" si="1">I4-L4</f>
        <v>86400</v>
      </c>
      <c r="N4" s="127" t="s">
        <v>74</v>
      </c>
      <c r="O4" s="128">
        <v>2025</v>
      </c>
      <c r="P4" s="129" t="s">
        <v>81</v>
      </c>
      <c r="Q4" s="130"/>
      <c r="R4" s="131"/>
      <c r="S4" s="130"/>
      <c r="T4" s="130">
        <v>32400</v>
      </c>
      <c r="U4" s="130">
        <v>32400</v>
      </c>
      <c r="V4" s="130">
        <v>19440</v>
      </c>
      <c r="W4" s="130">
        <v>3600</v>
      </c>
      <c r="X4" s="130">
        <v>1440</v>
      </c>
      <c r="Y4" s="130">
        <v>2160</v>
      </c>
      <c r="Z4" s="132">
        <v>12000</v>
      </c>
      <c r="AA4" s="132">
        <v>12000</v>
      </c>
      <c r="AB4" s="132">
        <v>7200</v>
      </c>
      <c r="AC4" s="132">
        <v>12000</v>
      </c>
      <c r="AD4" s="132">
        <v>12000</v>
      </c>
      <c r="AE4" s="132">
        <v>7200</v>
      </c>
      <c r="AF4" s="138"/>
      <c r="AG4" s="138"/>
      <c r="AH4" s="138"/>
      <c r="AI4" s="133"/>
      <c r="AJ4" s="133"/>
      <c r="AK4" s="133"/>
      <c r="AL4" s="133"/>
      <c r="AM4" s="133"/>
      <c r="AN4" s="133"/>
      <c r="AO4" s="133"/>
      <c r="AP4" s="133"/>
      <c r="AQ4" s="133"/>
      <c r="AR4" s="134"/>
      <c r="AS4" s="134"/>
      <c r="AT4" s="134"/>
      <c r="AU4" s="134"/>
      <c r="AV4" s="134"/>
      <c r="AW4" s="134"/>
      <c r="AX4" s="134"/>
      <c r="AY4" s="134"/>
      <c r="AZ4" s="135"/>
    </row>
    <row r="5" spans="1:53" ht="15" customHeight="1" x14ac:dyDescent="0.3">
      <c r="A5" s="118">
        <v>45940</v>
      </c>
      <c r="B5" s="119" t="s">
        <v>75</v>
      </c>
      <c r="C5" s="120" t="s">
        <v>34</v>
      </c>
      <c r="D5" s="103" t="s">
        <v>84</v>
      </c>
      <c r="E5" s="139" t="s">
        <v>86</v>
      </c>
      <c r="F5" s="123" t="s">
        <v>35</v>
      </c>
      <c r="G5" s="99">
        <v>42000</v>
      </c>
      <c r="H5" s="125">
        <v>1</v>
      </c>
      <c r="I5" s="124">
        <f t="shared" si="0"/>
        <v>42000</v>
      </c>
      <c r="J5" s="124" t="s">
        <v>60</v>
      </c>
      <c r="K5" s="126">
        <v>0.7</v>
      </c>
      <c r="L5" s="124">
        <f t="shared" ref="L5:L36" si="2">I5*K5</f>
        <v>29399.999999999996</v>
      </c>
      <c r="M5" s="124">
        <v>12600</v>
      </c>
      <c r="N5" s="127"/>
      <c r="O5" s="128"/>
      <c r="P5" s="100" t="s">
        <v>88</v>
      </c>
      <c r="Q5" s="130"/>
      <c r="R5" s="131"/>
      <c r="S5" s="130"/>
      <c r="T5" s="130">
        <v>12034</v>
      </c>
      <c r="U5" s="130">
        <v>12034</v>
      </c>
      <c r="V5" s="130">
        <v>5158</v>
      </c>
      <c r="W5" s="130">
        <v>3657</v>
      </c>
      <c r="X5" s="130">
        <v>3657</v>
      </c>
      <c r="Y5" s="130">
        <v>1567</v>
      </c>
      <c r="Z5" s="132">
        <v>3500</v>
      </c>
      <c r="AA5" s="132">
        <v>3500</v>
      </c>
      <c r="AB5" s="132">
        <v>1050</v>
      </c>
      <c r="AC5" s="132">
        <v>3500</v>
      </c>
      <c r="AD5" s="132">
        <v>3500</v>
      </c>
      <c r="AE5" s="132">
        <v>1050</v>
      </c>
      <c r="AF5" s="132">
        <v>3500</v>
      </c>
      <c r="AG5" s="132">
        <v>3500</v>
      </c>
      <c r="AH5" s="132">
        <v>1050</v>
      </c>
      <c r="AI5" s="140">
        <v>3500</v>
      </c>
      <c r="AJ5" s="140">
        <v>3500</v>
      </c>
      <c r="AK5" s="140">
        <v>1050</v>
      </c>
      <c r="AL5" s="140">
        <v>3500</v>
      </c>
      <c r="AM5" s="140">
        <v>3500</v>
      </c>
      <c r="AN5" s="140">
        <v>1050</v>
      </c>
      <c r="AO5" s="140">
        <v>3500</v>
      </c>
      <c r="AP5" s="140">
        <v>3500</v>
      </c>
      <c r="AQ5" s="140">
        <v>1050</v>
      </c>
      <c r="AR5" s="141">
        <v>3500</v>
      </c>
      <c r="AS5" s="141">
        <v>3500</v>
      </c>
      <c r="AT5" s="141">
        <v>1050</v>
      </c>
      <c r="AU5" s="134">
        <v>3500</v>
      </c>
      <c r="AV5" s="134">
        <v>3500</v>
      </c>
      <c r="AW5" s="134">
        <v>1050</v>
      </c>
      <c r="AX5" s="134"/>
      <c r="AY5" s="134"/>
      <c r="AZ5" s="135"/>
    </row>
    <row r="6" spans="1:53" ht="15" customHeight="1" x14ac:dyDescent="0.3">
      <c r="A6" s="118">
        <v>45940</v>
      </c>
      <c r="B6" s="119" t="s">
        <v>75</v>
      </c>
      <c r="C6" s="120" t="s">
        <v>34</v>
      </c>
      <c r="D6" s="103" t="s">
        <v>84</v>
      </c>
      <c r="E6" s="139" t="s">
        <v>87</v>
      </c>
      <c r="F6" s="123" t="s">
        <v>35</v>
      </c>
      <c r="G6" s="99">
        <v>13000</v>
      </c>
      <c r="H6" s="125">
        <v>1</v>
      </c>
      <c r="I6" s="124">
        <f t="shared" si="0"/>
        <v>13000</v>
      </c>
      <c r="J6" s="124" t="s">
        <v>60</v>
      </c>
      <c r="K6" s="126">
        <v>0.7</v>
      </c>
      <c r="L6" s="124">
        <f t="shared" si="2"/>
        <v>9100</v>
      </c>
      <c r="M6" s="124">
        <v>6500</v>
      </c>
      <c r="N6" s="127"/>
      <c r="O6" s="119"/>
      <c r="P6" s="100" t="s">
        <v>89</v>
      </c>
      <c r="Q6" s="130"/>
      <c r="R6" s="131"/>
      <c r="S6" s="130"/>
      <c r="T6" s="130">
        <v>3761</v>
      </c>
      <c r="U6" s="130">
        <v>3761</v>
      </c>
      <c r="V6" s="130">
        <v>1880</v>
      </c>
      <c r="W6" s="130">
        <v>1132</v>
      </c>
      <c r="X6" s="130">
        <v>1132</v>
      </c>
      <c r="Y6" s="130">
        <v>566</v>
      </c>
      <c r="Z6" s="138">
        <v>1083.33</v>
      </c>
      <c r="AA6" s="138">
        <v>1083.33</v>
      </c>
      <c r="AB6" s="138">
        <v>541.66999999999996</v>
      </c>
      <c r="AC6" s="138">
        <v>1083.33</v>
      </c>
      <c r="AD6" s="138">
        <v>1083.33</v>
      </c>
      <c r="AE6" s="138">
        <v>541.66999999999996</v>
      </c>
      <c r="AF6" s="138">
        <v>1083.33</v>
      </c>
      <c r="AG6" s="138">
        <v>1083.33</v>
      </c>
      <c r="AH6" s="138">
        <v>541.66999999999996</v>
      </c>
      <c r="AI6" s="133">
        <v>1083.33</v>
      </c>
      <c r="AJ6" s="133">
        <v>1083.33</v>
      </c>
      <c r="AK6" s="133">
        <v>541.66999999999996</v>
      </c>
      <c r="AL6" s="133">
        <v>1083.33</v>
      </c>
      <c r="AM6" s="133">
        <v>1083.33</v>
      </c>
      <c r="AN6" s="133">
        <v>541.66999999999996</v>
      </c>
      <c r="AO6" s="133">
        <v>1083.33</v>
      </c>
      <c r="AP6" s="133">
        <v>1083.33</v>
      </c>
      <c r="AQ6" s="133">
        <v>541.66999999999996</v>
      </c>
      <c r="AR6" s="134">
        <v>1083.33</v>
      </c>
      <c r="AS6" s="134">
        <v>1083.33</v>
      </c>
      <c r="AT6" s="134">
        <v>541.66999999999996</v>
      </c>
      <c r="AU6" s="134">
        <v>1083.33</v>
      </c>
      <c r="AV6" s="134">
        <v>1083.33</v>
      </c>
      <c r="AW6" s="134">
        <v>541.66999999999996</v>
      </c>
      <c r="AX6" s="134"/>
      <c r="AY6" s="134"/>
      <c r="AZ6" s="135"/>
    </row>
    <row r="7" spans="1:53" ht="15" customHeight="1" x14ac:dyDescent="0.3">
      <c r="A7" s="118">
        <v>45940</v>
      </c>
      <c r="B7" s="119" t="s">
        <v>75</v>
      </c>
      <c r="C7" s="120" t="s">
        <v>34</v>
      </c>
      <c r="D7" s="103" t="s">
        <v>85</v>
      </c>
      <c r="E7" s="139" t="s">
        <v>86</v>
      </c>
      <c r="F7" s="123" t="s">
        <v>35</v>
      </c>
      <c r="G7" s="99">
        <v>42000</v>
      </c>
      <c r="H7" s="125">
        <v>1</v>
      </c>
      <c r="I7" s="124">
        <f t="shared" si="0"/>
        <v>42000</v>
      </c>
      <c r="J7" s="124" t="s">
        <v>60</v>
      </c>
      <c r="K7" s="126">
        <v>0.7</v>
      </c>
      <c r="L7" s="124">
        <f t="shared" si="2"/>
        <v>29399.999999999996</v>
      </c>
      <c r="M7" s="124">
        <v>12600</v>
      </c>
      <c r="N7" s="127"/>
      <c r="O7" s="119"/>
      <c r="P7" s="100" t="s">
        <v>90</v>
      </c>
      <c r="Q7" s="130"/>
      <c r="R7" s="131"/>
      <c r="S7" s="130"/>
      <c r="T7" s="130">
        <v>12034</v>
      </c>
      <c r="U7" s="130">
        <v>12034</v>
      </c>
      <c r="V7" s="130">
        <v>5158</v>
      </c>
      <c r="W7" s="130">
        <v>3657</v>
      </c>
      <c r="X7" s="130">
        <v>3657</v>
      </c>
      <c r="Y7" s="130">
        <v>1567</v>
      </c>
      <c r="Z7" s="132">
        <v>3500</v>
      </c>
      <c r="AA7" s="132">
        <v>3500</v>
      </c>
      <c r="AB7" s="132">
        <v>1050</v>
      </c>
      <c r="AC7" s="132">
        <v>3500</v>
      </c>
      <c r="AD7" s="132">
        <v>3500</v>
      </c>
      <c r="AE7" s="132">
        <v>1050</v>
      </c>
      <c r="AF7" s="132">
        <v>3500</v>
      </c>
      <c r="AG7" s="132">
        <v>3500</v>
      </c>
      <c r="AH7" s="132">
        <v>1050</v>
      </c>
      <c r="AI7" s="140">
        <v>3500</v>
      </c>
      <c r="AJ7" s="140">
        <v>3500</v>
      </c>
      <c r="AK7" s="140">
        <v>1050</v>
      </c>
      <c r="AL7" s="140">
        <v>3500</v>
      </c>
      <c r="AM7" s="140">
        <v>3500</v>
      </c>
      <c r="AN7" s="140">
        <v>1050</v>
      </c>
      <c r="AO7" s="140">
        <v>3500</v>
      </c>
      <c r="AP7" s="140">
        <v>3500</v>
      </c>
      <c r="AQ7" s="140">
        <v>1050</v>
      </c>
      <c r="AR7" s="141">
        <v>3500</v>
      </c>
      <c r="AS7" s="141">
        <v>3500</v>
      </c>
      <c r="AT7" s="141">
        <v>1050</v>
      </c>
      <c r="AU7" s="134">
        <v>3500</v>
      </c>
      <c r="AV7" s="134">
        <v>3500</v>
      </c>
      <c r="AW7" s="134">
        <v>1050</v>
      </c>
      <c r="AX7" s="141"/>
      <c r="AY7" s="141"/>
      <c r="AZ7" s="142"/>
    </row>
    <row r="8" spans="1:53" x14ac:dyDescent="0.3">
      <c r="A8" s="118">
        <v>45940</v>
      </c>
      <c r="B8" s="119" t="s">
        <v>75</v>
      </c>
      <c r="C8" s="120" t="s">
        <v>34</v>
      </c>
      <c r="D8" s="103" t="s">
        <v>85</v>
      </c>
      <c r="E8" s="139" t="s">
        <v>87</v>
      </c>
      <c r="F8" s="123" t="s">
        <v>35</v>
      </c>
      <c r="G8" s="99">
        <v>13000</v>
      </c>
      <c r="H8" s="125">
        <v>1</v>
      </c>
      <c r="I8" s="124">
        <f t="shared" si="0"/>
        <v>13000</v>
      </c>
      <c r="J8" s="124" t="s">
        <v>60</v>
      </c>
      <c r="K8" s="126">
        <v>0.7</v>
      </c>
      <c r="L8" s="124">
        <f t="shared" si="2"/>
        <v>9100</v>
      </c>
      <c r="M8" s="124">
        <v>6500</v>
      </c>
      <c r="N8" s="127"/>
      <c r="O8" s="119"/>
      <c r="P8" s="100" t="s">
        <v>91</v>
      </c>
      <c r="Q8" s="130"/>
      <c r="R8" s="131"/>
      <c r="S8" s="130"/>
      <c r="T8" s="131">
        <v>3761</v>
      </c>
      <c r="U8" s="131">
        <v>3761</v>
      </c>
      <c r="V8" s="131">
        <v>1880</v>
      </c>
      <c r="W8" s="130">
        <v>1132</v>
      </c>
      <c r="X8" s="130">
        <v>1132</v>
      </c>
      <c r="Y8" s="130">
        <v>566</v>
      </c>
      <c r="Z8" s="138">
        <v>1083.33</v>
      </c>
      <c r="AA8" s="138">
        <v>1083.33</v>
      </c>
      <c r="AB8" s="138">
        <v>541.66999999999996</v>
      </c>
      <c r="AC8" s="138">
        <v>1083.33</v>
      </c>
      <c r="AD8" s="138">
        <v>1083.33</v>
      </c>
      <c r="AE8" s="138">
        <v>541.66999999999996</v>
      </c>
      <c r="AF8" s="138">
        <v>1083.33</v>
      </c>
      <c r="AG8" s="138">
        <v>1083.33</v>
      </c>
      <c r="AH8" s="138">
        <v>541.66999999999996</v>
      </c>
      <c r="AI8" s="133">
        <v>1083.33</v>
      </c>
      <c r="AJ8" s="133">
        <v>1083.33</v>
      </c>
      <c r="AK8" s="133">
        <v>541.66999999999996</v>
      </c>
      <c r="AL8" s="133">
        <v>1083.33</v>
      </c>
      <c r="AM8" s="133">
        <v>1083.33</v>
      </c>
      <c r="AN8" s="133">
        <v>541.66999999999996</v>
      </c>
      <c r="AO8" s="133">
        <v>1083.33</v>
      </c>
      <c r="AP8" s="133">
        <v>1083.33</v>
      </c>
      <c r="AQ8" s="133">
        <v>541.66999999999996</v>
      </c>
      <c r="AR8" s="134">
        <v>1083.33</v>
      </c>
      <c r="AS8" s="134">
        <v>1083.33</v>
      </c>
      <c r="AT8" s="134">
        <v>541.66999999999996</v>
      </c>
      <c r="AU8" s="134">
        <v>1083.33</v>
      </c>
      <c r="AV8" s="134">
        <v>1083.33</v>
      </c>
      <c r="AW8" s="134">
        <v>541.66999999999996</v>
      </c>
      <c r="AX8" s="143"/>
      <c r="AY8" s="143"/>
      <c r="AZ8" s="135"/>
    </row>
    <row r="9" spans="1:53" ht="15" customHeight="1" x14ac:dyDescent="0.3">
      <c r="A9" s="118">
        <v>45636</v>
      </c>
      <c r="B9" s="119" t="s">
        <v>75</v>
      </c>
      <c r="C9" s="120" t="s">
        <v>34</v>
      </c>
      <c r="D9" s="137" t="s">
        <v>92</v>
      </c>
      <c r="E9" s="122" t="s">
        <v>93</v>
      </c>
      <c r="F9" s="123" t="s">
        <v>94</v>
      </c>
      <c r="G9" s="124">
        <v>55200</v>
      </c>
      <c r="H9" s="125">
        <v>0.08</v>
      </c>
      <c r="I9" s="124">
        <f t="shared" si="0"/>
        <v>4416</v>
      </c>
      <c r="J9" s="124" t="s">
        <v>60</v>
      </c>
      <c r="K9" s="126">
        <v>0.5</v>
      </c>
      <c r="L9" s="124">
        <f t="shared" si="2"/>
        <v>2208</v>
      </c>
      <c r="M9" s="124">
        <f t="shared" si="1"/>
        <v>2208</v>
      </c>
      <c r="N9" s="127" t="s">
        <v>74</v>
      </c>
      <c r="O9" s="119"/>
      <c r="P9" s="129" t="s">
        <v>95</v>
      </c>
      <c r="Q9" s="130"/>
      <c r="R9" s="131"/>
      <c r="S9" s="130"/>
      <c r="T9" s="130"/>
      <c r="U9" s="130"/>
      <c r="V9" s="130"/>
      <c r="W9" s="130">
        <v>8618.34</v>
      </c>
      <c r="X9" s="130"/>
      <c r="Y9" s="130">
        <v>353.61</v>
      </c>
      <c r="Z9" s="132"/>
      <c r="AA9" s="132"/>
      <c r="AB9" s="132"/>
      <c r="AC9" s="132"/>
      <c r="AD9" s="132"/>
      <c r="AE9" s="132"/>
      <c r="AF9" s="132"/>
      <c r="AG9" s="132"/>
      <c r="AH9" s="132"/>
      <c r="AI9" s="140"/>
      <c r="AJ9" s="140"/>
      <c r="AK9" s="140"/>
      <c r="AL9" s="140"/>
      <c r="AM9" s="140"/>
      <c r="AN9" s="140"/>
      <c r="AO9" s="140"/>
      <c r="AP9" s="140"/>
      <c r="AQ9" s="140"/>
      <c r="AR9" s="141"/>
      <c r="AS9" s="141"/>
      <c r="AT9" s="141"/>
      <c r="AU9" s="141"/>
      <c r="AV9" s="141"/>
      <c r="AW9" s="141"/>
      <c r="AX9" s="141"/>
      <c r="AY9" s="141"/>
      <c r="AZ9" s="142"/>
    </row>
    <row r="10" spans="1:53" ht="15" customHeight="1" x14ac:dyDescent="0.3">
      <c r="A10" s="118">
        <v>45579</v>
      </c>
      <c r="B10" s="119" t="s">
        <v>75</v>
      </c>
      <c r="C10" s="120" t="s">
        <v>34</v>
      </c>
      <c r="D10" s="144" t="s">
        <v>96</v>
      </c>
      <c r="E10" s="139" t="s">
        <v>99</v>
      </c>
      <c r="F10" s="123" t="s">
        <v>35</v>
      </c>
      <c r="G10" s="99">
        <v>79600</v>
      </c>
      <c r="H10" s="125">
        <v>1</v>
      </c>
      <c r="I10" s="124">
        <f t="shared" si="0"/>
        <v>79600</v>
      </c>
      <c r="J10" s="124" t="s">
        <v>60</v>
      </c>
      <c r="K10" s="126">
        <v>0.7</v>
      </c>
      <c r="L10" s="124">
        <v>20800</v>
      </c>
      <c r="M10" s="99">
        <v>58800</v>
      </c>
      <c r="N10" s="127" t="s">
        <v>74</v>
      </c>
      <c r="O10" s="119"/>
      <c r="P10" s="100" t="s">
        <v>103</v>
      </c>
      <c r="Q10" s="130"/>
      <c r="R10" s="131"/>
      <c r="S10" s="130"/>
      <c r="T10" s="145"/>
      <c r="U10" s="145"/>
      <c r="V10" s="145"/>
      <c r="W10" s="130">
        <v>39900</v>
      </c>
      <c r="X10" s="130">
        <v>39900</v>
      </c>
      <c r="Y10" s="130">
        <v>29400</v>
      </c>
      <c r="Z10" s="132"/>
      <c r="AA10" s="132"/>
      <c r="AB10" s="132"/>
      <c r="AC10" s="138"/>
      <c r="AD10" s="138"/>
      <c r="AE10" s="138"/>
      <c r="AF10" s="138"/>
      <c r="AG10" s="138"/>
      <c r="AH10" s="138"/>
      <c r="AI10" s="133"/>
      <c r="AJ10" s="133"/>
      <c r="AK10" s="133"/>
      <c r="AL10" s="146"/>
      <c r="AM10" s="146"/>
      <c r="AN10" s="146"/>
      <c r="AO10" s="146"/>
      <c r="AP10" s="146"/>
      <c r="AQ10" s="146"/>
      <c r="AR10" s="143"/>
      <c r="AS10" s="143"/>
      <c r="AT10" s="143"/>
      <c r="AU10" s="143"/>
      <c r="AV10" s="143"/>
      <c r="AW10" s="143"/>
      <c r="AX10" s="143"/>
      <c r="AY10" s="143"/>
      <c r="AZ10" s="135"/>
      <c r="BA10" s="147">
        <v>45778</v>
      </c>
    </row>
    <row r="11" spans="1:53" ht="15" customHeight="1" x14ac:dyDescent="0.3">
      <c r="A11" s="118">
        <v>45691</v>
      </c>
      <c r="B11" s="119" t="s">
        <v>75</v>
      </c>
      <c r="C11" s="120" t="s">
        <v>34</v>
      </c>
      <c r="D11" s="144" t="s">
        <v>97</v>
      </c>
      <c r="E11" s="139" t="s">
        <v>100</v>
      </c>
      <c r="F11" s="123" t="s">
        <v>35</v>
      </c>
      <c r="G11" s="99">
        <v>498130</v>
      </c>
      <c r="H11" s="125">
        <v>0.39</v>
      </c>
      <c r="I11" s="124">
        <f t="shared" si="0"/>
        <v>194270.7</v>
      </c>
      <c r="J11" s="124" t="s">
        <v>60</v>
      </c>
      <c r="K11" s="126">
        <v>0.7</v>
      </c>
      <c r="L11" s="124">
        <f t="shared" si="2"/>
        <v>135989.49</v>
      </c>
      <c r="M11" s="99">
        <v>68557</v>
      </c>
      <c r="N11" s="127" t="s">
        <v>74</v>
      </c>
      <c r="O11" s="119"/>
      <c r="P11" s="148" t="s">
        <v>104</v>
      </c>
      <c r="Q11" s="130">
        <v>12500</v>
      </c>
      <c r="R11" s="131">
        <v>12500</v>
      </c>
      <c r="S11" s="130">
        <v>3750</v>
      </c>
      <c r="T11" s="130">
        <v>11798</v>
      </c>
      <c r="U11" s="130">
        <v>8258</v>
      </c>
      <c r="V11" s="130">
        <v>350</v>
      </c>
      <c r="W11" s="130">
        <v>13062</v>
      </c>
      <c r="X11" s="130">
        <v>13062</v>
      </c>
      <c r="Y11" s="130">
        <v>3919</v>
      </c>
      <c r="Z11" s="132">
        <f>12500*2</f>
        <v>25000</v>
      </c>
      <c r="AA11" s="132">
        <f>12500*2</f>
        <v>25000</v>
      </c>
      <c r="AB11" s="132">
        <f>3750*2</f>
        <v>7500</v>
      </c>
      <c r="AC11" s="149"/>
      <c r="AD11" s="149"/>
      <c r="AE11" s="149"/>
      <c r="AF11" s="149"/>
      <c r="AG11" s="149"/>
      <c r="AH11" s="149"/>
      <c r="AI11" s="146"/>
      <c r="AJ11" s="146"/>
      <c r="AK11" s="146"/>
      <c r="AL11" s="146"/>
      <c r="AM11" s="146"/>
      <c r="AN11" s="146"/>
      <c r="AO11" s="146"/>
      <c r="AP11" s="146"/>
      <c r="AQ11" s="146"/>
      <c r="AR11" s="143"/>
      <c r="AS11" s="143"/>
      <c r="AT11" s="143"/>
      <c r="AU11" s="143"/>
      <c r="AV11" s="143"/>
      <c r="AW11" s="143"/>
      <c r="AX11" s="143"/>
      <c r="AY11" s="143"/>
      <c r="AZ11" s="135"/>
      <c r="BA11" s="147">
        <v>45901</v>
      </c>
    </row>
    <row r="12" spans="1:53" ht="15" customHeight="1" x14ac:dyDescent="0.3">
      <c r="A12" s="118">
        <v>45714</v>
      </c>
      <c r="B12" s="119" t="s">
        <v>75</v>
      </c>
      <c r="C12" s="120" t="s">
        <v>34</v>
      </c>
      <c r="D12" s="144" t="s">
        <v>98</v>
      </c>
      <c r="E12" s="139" t="s">
        <v>101</v>
      </c>
      <c r="F12" s="123" t="s">
        <v>35</v>
      </c>
      <c r="G12" s="99">
        <v>50000</v>
      </c>
      <c r="H12" s="125">
        <v>1</v>
      </c>
      <c r="I12" s="124">
        <f t="shared" si="0"/>
        <v>50000</v>
      </c>
      <c r="J12" s="124" t="s">
        <v>60</v>
      </c>
      <c r="K12" s="126">
        <v>0.7</v>
      </c>
      <c r="L12" s="124">
        <f t="shared" si="2"/>
        <v>35000</v>
      </c>
      <c r="M12" s="99">
        <v>22000</v>
      </c>
      <c r="N12" s="127" t="s">
        <v>74</v>
      </c>
      <c r="O12" s="119"/>
      <c r="P12" s="100" t="s">
        <v>105</v>
      </c>
      <c r="Q12" s="130">
        <v>4167</v>
      </c>
      <c r="R12" s="131">
        <v>4167</v>
      </c>
      <c r="S12" s="130">
        <v>1833.33</v>
      </c>
      <c r="T12" s="130">
        <v>3836</v>
      </c>
      <c r="U12" s="130">
        <v>3836</v>
      </c>
      <c r="V12" s="130">
        <v>1688</v>
      </c>
      <c r="W12" s="130">
        <v>4379</v>
      </c>
      <c r="X12" s="130">
        <v>4379</v>
      </c>
      <c r="Y12" s="130">
        <v>1999</v>
      </c>
      <c r="Z12" s="132"/>
      <c r="AA12" s="132"/>
      <c r="AB12" s="132"/>
      <c r="AC12" s="149"/>
      <c r="AD12" s="149"/>
      <c r="AE12" s="149"/>
      <c r="AF12" s="149"/>
      <c r="AG12" s="149"/>
      <c r="AH12" s="149"/>
      <c r="AI12" s="146"/>
      <c r="AJ12" s="146"/>
      <c r="AK12" s="146"/>
      <c r="AL12" s="146"/>
      <c r="AM12" s="146"/>
      <c r="AN12" s="146"/>
      <c r="AO12" s="146"/>
      <c r="AP12" s="146"/>
      <c r="AQ12" s="146"/>
      <c r="AR12" s="143"/>
      <c r="AS12" s="143"/>
      <c r="AT12" s="143"/>
      <c r="AU12" s="143"/>
      <c r="AV12" s="143"/>
      <c r="AW12" s="143"/>
      <c r="AX12" s="143"/>
      <c r="AY12" s="143"/>
      <c r="AZ12" s="135"/>
      <c r="BA12" s="147">
        <v>45778</v>
      </c>
    </row>
    <row r="13" spans="1:53" s="153" customFormat="1" x14ac:dyDescent="0.3">
      <c r="A13" s="118">
        <v>45714</v>
      </c>
      <c r="B13" s="119" t="s">
        <v>75</v>
      </c>
      <c r="C13" s="120" t="s">
        <v>34</v>
      </c>
      <c r="D13" s="144" t="s">
        <v>98</v>
      </c>
      <c r="E13" s="139" t="s">
        <v>102</v>
      </c>
      <c r="F13" s="123" t="s">
        <v>35</v>
      </c>
      <c r="G13" s="99">
        <v>33000</v>
      </c>
      <c r="H13" s="125">
        <v>1</v>
      </c>
      <c r="I13" s="124">
        <f t="shared" si="0"/>
        <v>33000</v>
      </c>
      <c r="J13" s="124" t="s">
        <v>60</v>
      </c>
      <c r="K13" s="126">
        <v>0.7</v>
      </c>
      <c r="L13" s="124">
        <f t="shared" si="2"/>
        <v>23100</v>
      </c>
      <c r="M13" s="99">
        <v>15500</v>
      </c>
      <c r="N13" s="127" t="s">
        <v>74</v>
      </c>
      <c r="O13" s="119"/>
      <c r="P13" s="100" t="s">
        <v>106</v>
      </c>
      <c r="Q13" s="130">
        <v>2750</v>
      </c>
      <c r="R13" s="131">
        <v>2750</v>
      </c>
      <c r="S13" s="130">
        <v>1291.67</v>
      </c>
      <c r="T13" s="130">
        <v>2532</v>
      </c>
      <c r="U13" s="130">
        <v>2532</v>
      </c>
      <c r="V13" s="130">
        <v>1190</v>
      </c>
      <c r="W13" s="130">
        <v>2802</v>
      </c>
      <c r="X13" s="130">
        <v>2802</v>
      </c>
      <c r="Y13" s="130">
        <v>1312</v>
      </c>
      <c r="Z13" s="132"/>
      <c r="AA13" s="132"/>
      <c r="AB13" s="132"/>
      <c r="AC13" s="150"/>
      <c r="AD13" s="150"/>
      <c r="AE13" s="150"/>
      <c r="AF13" s="150"/>
      <c r="AG13" s="150"/>
      <c r="AH13" s="150"/>
      <c r="AI13" s="146"/>
      <c r="AJ13" s="146"/>
      <c r="AK13" s="146"/>
      <c r="AL13" s="146"/>
      <c r="AM13" s="146"/>
      <c r="AN13" s="146"/>
      <c r="AO13" s="146"/>
      <c r="AP13" s="146"/>
      <c r="AQ13" s="146"/>
      <c r="AR13" s="151"/>
      <c r="AS13" s="151"/>
      <c r="AT13" s="151"/>
      <c r="AU13" s="151"/>
      <c r="AV13" s="151"/>
      <c r="AW13" s="151"/>
      <c r="AX13" s="151"/>
      <c r="AY13" s="151"/>
      <c r="AZ13" s="152"/>
      <c r="BA13" s="147">
        <v>45778</v>
      </c>
    </row>
    <row r="14" spans="1:53" s="153" customFormat="1" x14ac:dyDescent="0.3">
      <c r="A14" s="154">
        <v>45770</v>
      </c>
      <c r="B14" s="119" t="s">
        <v>75</v>
      </c>
      <c r="C14" s="120" t="s">
        <v>34</v>
      </c>
      <c r="D14" s="137" t="s">
        <v>109</v>
      </c>
      <c r="E14" s="122" t="s">
        <v>35</v>
      </c>
      <c r="F14" s="123" t="s">
        <v>35</v>
      </c>
      <c r="G14" s="124">
        <v>60000</v>
      </c>
      <c r="H14" s="125">
        <v>1</v>
      </c>
      <c r="I14" s="124">
        <f t="shared" si="0"/>
        <v>60000</v>
      </c>
      <c r="J14" s="124" t="s">
        <v>60</v>
      </c>
      <c r="K14" s="126">
        <v>0.7</v>
      </c>
      <c r="L14" s="124">
        <v>36400</v>
      </c>
      <c r="M14" s="124">
        <v>23600</v>
      </c>
      <c r="N14" s="127" t="s">
        <v>74</v>
      </c>
      <c r="O14" s="119"/>
      <c r="P14" s="155" t="s">
        <v>110</v>
      </c>
      <c r="Q14" s="130">
        <v>5000</v>
      </c>
      <c r="R14" s="131">
        <v>5000</v>
      </c>
      <c r="S14" s="130">
        <v>1966.67</v>
      </c>
      <c r="T14" s="130">
        <v>4551</v>
      </c>
      <c r="U14" s="130">
        <v>4551</v>
      </c>
      <c r="V14" s="130">
        <v>1688</v>
      </c>
      <c r="W14" s="130">
        <v>5225</v>
      </c>
      <c r="X14" s="130">
        <v>5225</v>
      </c>
      <c r="Y14" s="130">
        <v>2056</v>
      </c>
      <c r="Z14" s="132">
        <v>5000</v>
      </c>
      <c r="AA14" s="132">
        <v>5000</v>
      </c>
      <c r="AB14" s="132">
        <v>1966.67</v>
      </c>
      <c r="AC14" s="150"/>
      <c r="AD14" s="150"/>
      <c r="AE14" s="150"/>
      <c r="AF14" s="150"/>
      <c r="AG14" s="150"/>
      <c r="AH14" s="150"/>
      <c r="AI14" s="146"/>
      <c r="AJ14" s="146"/>
      <c r="AK14" s="146"/>
      <c r="AL14" s="146"/>
      <c r="AM14" s="146"/>
      <c r="AN14" s="146"/>
      <c r="AO14" s="146"/>
      <c r="AP14" s="146"/>
      <c r="AQ14" s="146"/>
      <c r="AR14" s="151"/>
      <c r="AS14" s="151"/>
      <c r="AT14" s="151"/>
      <c r="AU14" s="151"/>
      <c r="AV14" s="151"/>
      <c r="AW14" s="151"/>
      <c r="AX14" s="151"/>
      <c r="AY14" s="151"/>
      <c r="AZ14" s="152"/>
    </row>
    <row r="15" spans="1:53" x14ac:dyDescent="0.3">
      <c r="A15" s="118">
        <v>45782</v>
      </c>
      <c r="B15" s="119" t="s">
        <v>75</v>
      </c>
      <c r="C15" s="120" t="s">
        <v>112</v>
      </c>
      <c r="D15" s="108" t="s">
        <v>111</v>
      </c>
      <c r="E15" s="139" t="s">
        <v>113</v>
      </c>
      <c r="F15" s="123" t="s">
        <v>112</v>
      </c>
      <c r="G15" s="99">
        <v>78000</v>
      </c>
      <c r="H15" s="125">
        <v>1</v>
      </c>
      <c r="I15" s="124">
        <f t="shared" si="0"/>
        <v>78000</v>
      </c>
      <c r="J15" s="124" t="s">
        <v>60</v>
      </c>
      <c r="K15" s="126">
        <v>0.5</v>
      </c>
      <c r="L15" s="124">
        <f t="shared" si="2"/>
        <v>39000</v>
      </c>
      <c r="M15" s="124">
        <f t="shared" si="1"/>
        <v>39000</v>
      </c>
      <c r="N15" s="127"/>
      <c r="O15" s="128">
        <v>46082</v>
      </c>
      <c r="P15" s="155" t="s">
        <v>114</v>
      </c>
      <c r="Q15" s="130">
        <v>6500</v>
      </c>
      <c r="R15" s="131">
        <v>6500</v>
      </c>
      <c r="S15" s="130">
        <v>3250</v>
      </c>
      <c r="T15" s="130">
        <v>5982</v>
      </c>
      <c r="U15" s="130">
        <v>2994</v>
      </c>
      <c r="V15" s="130">
        <v>2988</v>
      </c>
      <c r="W15" s="130">
        <v>6500</v>
      </c>
      <c r="X15" s="130">
        <v>6500</v>
      </c>
      <c r="Y15" s="130">
        <v>3250</v>
      </c>
      <c r="Z15" s="132"/>
      <c r="AA15" s="132"/>
      <c r="AB15" s="132"/>
      <c r="AC15" s="149"/>
      <c r="AD15" s="149"/>
      <c r="AE15" s="149"/>
      <c r="AF15" s="149"/>
      <c r="AG15" s="149"/>
      <c r="AH15" s="149"/>
      <c r="AI15" s="146"/>
      <c r="AJ15" s="146"/>
      <c r="AK15" s="146"/>
      <c r="AL15" s="146"/>
      <c r="AM15" s="146"/>
      <c r="AN15" s="146"/>
      <c r="AO15" s="146"/>
      <c r="AP15" s="146"/>
      <c r="AQ15" s="146"/>
      <c r="AR15" s="143"/>
      <c r="AS15" s="143"/>
      <c r="AT15" s="143"/>
      <c r="AU15" s="143"/>
      <c r="AV15" s="143"/>
      <c r="AW15" s="143"/>
      <c r="AX15" s="143"/>
      <c r="AY15" s="143"/>
      <c r="AZ15" s="135"/>
    </row>
    <row r="16" spans="1:53" x14ac:dyDescent="0.3">
      <c r="A16" s="118">
        <v>45770</v>
      </c>
      <c r="B16" s="119" t="s">
        <v>75</v>
      </c>
      <c r="C16" s="120" t="s">
        <v>34</v>
      </c>
      <c r="D16" s="144" t="s">
        <v>109</v>
      </c>
      <c r="E16" s="139" t="s">
        <v>117</v>
      </c>
      <c r="F16" s="123" t="s">
        <v>35</v>
      </c>
      <c r="G16" s="99">
        <v>30000</v>
      </c>
      <c r="H16" s="125">
        <v>1</v>
      </c>
      <c r="I16" s="124">
        <f t="shared" si="0"/>
        <v>30000</v>
      </c>
      <c r="J16" s="124" t="s">
        <v>60</v>
      </c>
      <c r="K16" s="126">
        <v>0.7</v>
      </c>
      <c r="L16" s="124">
        <v>7500</v>
      </c>
      <c r="M16" s="124">
        <v>22500</v>
      </c>
      <c r="N16" s="127" t="s">
        <v>74</v>
      </c>
      <c r="O16" s="119"/>
      <c r="P16" s="155" t="s">
        <v>198</v>
      </c>
      <c r="Q16" s="130"/>
      <c r="R16" s="131"/>
      <c r="S16" s="130"/>
      <c r="T16" s="130"/>
      <c r="U16" s="130"/>
      <c r="V16" s="130"/>
      <c r="W16" s="130"/>
      <c r="X16" s="130"/>
      <c r="Y16" s="130"/>
      <c r="Z16" s="132"/>
      <c r="AA16" s="132"/>
      <c r="AB16" s="132"/>
      <c r="AC16" s="149">
        <v>30000</v>
      </c>
      <c r="AD16" s="149">
        <v>30000</v>
      </c>
      <c r="AE16" s="149">
        <v>22500</v>
      </c>
      <c r="AF16" s="149"/>
      <c r="AG16" s="149"/>
      <c r="AH16" s="149"/>
      <c r="AI16" s="146"/>
      <c r="AJ16" s="146"/>
      <c r="AK16" s="146"/>
      <c r="AL16" s="146"/>
      <c r="AM16" s="146"/>
      <c r="AN16" s="146"/>
      <c r="AO16" s="146"/>
      <c r="AP16" s="146"/>
      <c r="AQ16" s="146"/>
      <c r="AR16" s="143"/>
      <c r="AS16" s="143"/>
      <c r="AT16" s="143"/>
      <c r="AU16" s="143"/>
      <c r="AV16" s="143"/>
      <c r="AW16" s="143"/>
      <c r="AX16" s="143"/>
      <c r="AY16" s="143"/>
      <c r="AZ16" s="135"/>
    </row>
    <row r="17" spans="1:52" x14ac:dyDescent="0.3">
      <c r="A17" s="118">
        <v>45422</v>
      </c>
      <c r="B17" s="119" t="s">
        <v>75</v>
      </c>
      <c r="C17" s="120" t="s">
        <v>34</v>
      </c>
      <c r="D17" s="144" t="s">
        <v>115</v>
      </c>
      <c r="E17" s="139" t="s">
        <v>118</v>
      </c>
      <c r="F17" s="123" t="s">
        <v>121</v>
      </c>
      <c r="G17" s="99">
        <v>221793</v>
      </c>
      <c r="H17" s="125">
        <v>0.83</v>
      </c>
      <c r="I17" s="124">
        <f t="shared" si="0"/>
        <v>184088.19</v>
      </c>
      <c r="J17" s="124" t="s">
        <v>60</v>
      </c>
      <c r="K17" s="126">
        <v>0.5</v>
      </c>
      <c r="L17" s="124">
        <v>111232.19</v>
      </c>
      <c r="M17" s="124">
        <v>72856</v>
      </c>
      <c r="N17" s="127" t="s">
        <v>74</v>
      </c>
      <c r="O17" s="119"/>
      <c r="P17" s="155" t="s">
        <v>123</v>
      </c>
      <c r="Q17" s="130"/>
      <c r="R17" s="131"/>
      <c r="S17" s="130"/>
      <c r="T17" s="130"/>
      <c r="U17" s="130"/>
      <c r="V17" s="130"/>
      <c r="W17" s="130"/>
      <c r="X17" s="130"/>
      <c r="Y17" s="130"/>
      <c r="Z17" s="132">
        <v>57500</v>
      </c>
      <c r="AA17" s="132">
        <v>57500</v>
      </c>
      <c r="AB17" s="132">
        <v>28750</v>
      </c>
      <c r="AC17" s="149"/>
      <c r="AD17" s="149"/>
      <c r="AE17" s="149"/>
      <c r="AF17" s="149"/>
      <c r="AG17" s="149"/>
      <c r="AH17" s="149"/>
      <c r="AI17" s="146"/>
      <c r="AJ17" s="146"/>
      <c r="AK17" s="146"/>
      <c r="AL17" s="146"/>
      <c r="AM17" s="146"/>
      <c r="AN17" s="146"/>
      <c r="AO17" s="146"/>
      <c r="AP17" s="146"/>
      <c r="AQ17" s="146"/>
      <c r="AR17" s="143"/>
      <c r="AS17" s="143"/>
      <c r="AT17" s="143"/>
      <c r="AU17" s="143"/>
      <c r="AV17" s="143"/>
      <c r="AW17" s="143"/>
      <c r="AX17" s="143"/>
      <c r="AY17" s="143"/>
      <c r="AZ17" s="135"/>
    </row>
    <row r="18" spans="1:52" x14ac:dyDescent="0.3">
      <c r="A18" s="118">
        <v>45470</v>
      </c>
      <c r="B18" s="119" t="s">
        <v>75</v>
      </c>
      <c r="C18" s="120" t="s">
        <v>34</v>
      </c>
      <c r="D18" s="144" t="s">
        <v>115</v>
      </c>
      <c r="E18" s="139" t="s">
        <v>119</v>
      </c>
      <c r="F18" s="123" t="s">
        <v>122</v>
      </c>
      <c r="G18" s="99">
        <v>60000</v>
      </c>
      <c r="H18" s="125">
        <v>1</v>
      </c>
      <c r="I18" s="124">
        <f t="shared" si="0"/>
        <v>60000</v>
      </c>
      <c r="J18" s="124" t="s">
        <v>60</v>
      </c>
      <c r="K18" s="126">
        <v>0.7</v>
      </c>
      <c r="L18" s="124">
        <f t="shared" si="2"/>
        <v>42000</v>
      </c>
      <c r="M18" s="124">
        <v>32000</v>
      </c>
      <c r="N18" s="127" t="s">
        <v>74</v>
      </c>
      <c r="O18" s="119"/>
      <c r="P18" s="155" t="s">
        <v>124</v>
      </c>
      <c r="Q18" s="130"/>
      <c r="R18" s="131"/>
      <c r="S18" s="130"/>
      <c r="T18" s="130"/>
      <c r="U18" s="130"/>
      <c r="V18" s="130"/>
      <c r="W18" s="130"/>
      <c r="X18" s="130"/>
      <c r="Y18" s="130"/>
      <c r="Z18" s="132">
        <v>36000</v>
      </c>
      <c r="AA18" s="132">
        <v>36000</v>
      </c>
      <c r="AB18" s="132">
        <v>19200</v>
      </c>
      <c r="AC18" s="149"/>
      <c r="AD18" s="149"/>
      <c r="AE18" s="149"/>
      <c r="AF18" s="149"/>
      <c r="AG18" s="149"/>
      <c r="AH18" s="149"/>
      <c r="AI18" s="146"/>
      <c r="AJ18" s="146"/>
      <c r="AK18" s="146"/>
      <c r="AL18" s="146"/>
      <c r="AM18" s="146"/>
      <c r="AN18" s="146"/>
      <c r="AO18" s="146"/>
      <c r="AP18" s="146"/>
      <c r="AQ18" s="146"/>
      <c r="AR18" s="143"/>
      <c r="AS18" s="143"/>
      <c r="AT18" s="143"/>
      <c r="AU18" s="143"/>
      <c r="AV18" s="143"/>
      <c r="AW18" s="143"/>
      <c r="AX18" s="143"/>
      <c r="AY18" s="143"/>
      <c r="AZ18" s="135"/>
    </row>
    <row r="19" spans="1:52" x14ac:dyDescent="0.3">
      <c r="A19" s="118">
        <v>45616</v>
      </c>
      <c r="B19" s="119" t="s">
        <v>75</v>
      </c>
      <c r="C19" s="120" t="s">
        <v>34</v>
      </c>
      <c r="D19" s="144" t="s">
        <v>116</v>
      </c>
      <c r="E19" s="139" t="s">
        <v>120</v>
      </c>
      <c r="F19" s="123" t="s">
        <v>122</v>
      </c>
      <c r="G19" s="99">
        <v>161428</v>
      </c>
      <c r="H19" s="125">
        <v>0.1</v>
      </c>
      <c r="I19" s="124">
        <f t="shared" si="0"/>
        <v>16142.800000000001</v>
      </c>
      <c r="J19" s="124" t="s">
        <v>60</v>
      </c>
      <c r="K19" s="126">
        <v>0.7</v>
      </c>
      <c r="L19" s="124">
        <f t="shared" si="2"/>
        <v>11299.960000000001</v>
      </c>
      <c r="M19" s="124">
        <v>8071.4000000000005</v>
      </c>
      <c r="N19" s="127" t="s">
        <v>74</v>
      </c>
      <c r="O19" s="119"/>
      <c r="P19" s="155" t="s">
        <v>125</v>
      </c>
      <c r="Q19" s="130"/>
      <c r="R19" s="131"/>
      <c r="S19" s="130"/>
      <c r="T19" s="130"/>
      <c r="U19" s="130"/>
      <c r="V19" s="130"/>
      <c r="W19" s="130"/>
      <c r="X19" s="130"/>
      <c r="Y19" s="130"/>
      <c r="Z19" s="132"/>
      <c r="AA19" s="132"/>
      <c r="AB19" s="132"/>
      <c r="AC19" s="132">
        <v>61948</v>
      </c>
      <c r="AD19" s="132">
        <v>58970</v>
      </c>
      <c r="AE19" s="132">
        <v>2977.54</v>
      </c>
      <c r="AF19" s="149">
        <v>80714</v>
      </c>
      <c r="AG19" s="149">
        <v>8071</v>
      </c>
      <c r="AH19" s="149">
        <v>8071.4</v>
      </c>
      <c r="AI19" s="146"/>
      <c r="AJ19" s="146"/>
      <c r="AK19" s="146"/>
      <c r="AL19" s="146"/>
      <c r="AM19" s="146"/>
      <c r="AN19" s="146"/>
      <c r="AO19" s="146"/>
      <c r="AP19" s="146"/>
      <c r="AQ19" s="146"/>
      <c r="AR19" s="143"/>
      <c r="AS19" s="143"/>
      <c r="AT19" s="143"/>
      <c r="AU19" s="143"/>
      <c r="AV19" s="143"/>
      <c r="AW19" s="143"/>
      <c r="AX19" s="143"/>
      <c r="AY19" s="143"/>
      <c r="AZ19" s="135"/>
    </row>
    <row r="20" spans="1:52" x14ac:dyDescent="0.3">
      <c r="A20" s="118">
        <v>45790</v>
      </c>
      <c r="B20" s="156" t="s">
        <v>75</v>
      </c>
      <c r="C20" s="156" t="s">
        <v>34</v>
      </c>
      <c r="D20" s="108" t="s">
        <v>126</v>
      </c>
      <c r="E20" s="139" t="s">
        <v>127</v>
      </c>
      <c r="F20" s="123" t="s">
        <v>35</v>
      </c>
      <c r="G20" s="157">
        <v>289200</v>
      </c>
      <c r="H20" s="125">
        <v>1</v>
      </c>
      <c r="I20" s="124">
        <f t="shared" si="0"/>
        <v>289200</v>
      </c>
      <c r="J20" s="124" t="s">
        <v>60</v>
      </c>
      <c r="K20" s="126">
        <v>0.7</v>
      </c>
      <c r="L20" s="124">
        <v>220200</v>
      </c>
      <c r="M20" s="124">
        <v>69000</v>
      </c>
      <c r="N20" s="127"/>
      <c r="O20" s="128">
        <v>46082</v>
      </c>
      <c r="P20" s="148" t="s">
        <v>132</v>
      </c>
      <c r="Q20" s="130"/>
      <c r="R20" s="131"/>
      <c r="S20" s="130"/>
      <c r="T20" s="130">
        <f>24100+48200</f>
        <v>72300</v>
      </c>
      <c r="U20" s="130">
        <f>19000+38000</f>
        <v>57000</v>
      </c>
      <c r="V20" s="130">
        <v>37133</v>
      </c>
      <c r="W20" s="130">
        <v>13399</v>
      </c>
      <c r="X20" s="130">
        <f>W20-1560</f>
        <v>11839</v>
      </c>
      <c r="Y20" s="130">
        <v>11839</v>
      </c>
      <c r="Z20" s="149">
        <v>24100</v>
      </c>
      <c r="AA20" s="149">
        <v>15416</v>
      </c>
      <c r="AB20" s="149">
        <v>1285</v>
      </c>
      <c r="AC20" s="149">
        <v>24100</v>
      </c>
      <c r="AD20" s="149">
        <v>15416</v>
      </c>
      <c r="AE20" s="149">
        <v>1285</v>
      </c>
      <c r="AF20" s="149">
        <v>24100</v>
      </c>
      <c r="AG20" s="149">
        <v>15416</v>
      </c>
      <c r="AH20" s="149">
        <v>1285</v>
      </c>
      <c r="AI20" s="146">
        <v>24100</v>
      </c>
      <c r="AJ20" s="146">
        <v>15416</v>
      </c>
      <c r="AK20" s="146">
        <v>1285</v>
      </c>
      <c r="AL20" s="146">
        <v>24100</v>
      </c>
      <c r="AM20" s="146">
        <v>15416</v>
      </c>
      <c r="AN20" s="146">
        <v>1285</v>
      </c>
      <c r="AO20" s="146"/>
      <c r="AP20" s="146"/>
      <c r="AQ20" s="146"/>
      <c r="AR20" s="143"/>
      <c r="AS20" s="143"/>
      <c r="AT20" s="143"/>
      <c r="AU20" s="143"/>
      <c r="AV20" s="143"/>
      <c r="AW20" s="143"/>
      <c r="AX20" s="143"/>
      <c r="AY20" s="143"/>
      <c r="AZ20" s="135"/>
    </row>
    <row r="21" spans="1:52" x14ac:dyDescent="0.3">
      <c r="A21" s="118">
        <v>45840</v>
      </c>
      <c r="B21" s="156" t="s">
        <v>75</v>
      </c>
      <c r="C21" s="156" t="s">
        <v>34</v>
      </c>
      <c r="D21" s="103" t="s">
        <v>126</v>
      </c>
      <c r="E21" s="139" t="s">
        <v>128</v>
      </c>
      <c r="F21" s="123" t="s">
        <v>82</v>
      </c>
      <c r="G21" s="124">
        <v>180960</v>
      </c>
      <c r="H21" s="125">
        <v>1</v>
      </c>
      <c r="I21" s="124">
        <f t="shared" si="0"/>
        <v>180960</v>
      </c>
      <c r="J21" s="124" t="s">
        <v>60</v>
      </c>
      <c r="K21" s="126">
        <v>0.8</v>
      </c>
      <c r="L21" s="124">
        <v>155500</v>
      </c>
      <c r="M21" s="124">
        <v>25460</v>
      </c>
      <c r="N21" s="127"/>
      <c r="O21" s="128">
        <v>46113</v>
      </c>
      <c r="P21" s="155" t="s">
        <v>130</v>
      </c>
      <c r="Q21" s="130"/>
      <c r="R21" s="131"/>
      <c r="S21" s="130"/>
      <c r="T21" s="131">
        <v>54288</v>
      </c>
      <c r="U21" s="131">
        <v>7788</v>
      </c>
      <c r="V21" s="131">
        <v>7788</v>
      </c>
      <c r="W21" s="130"/>
      <c r="X21" s="130"/>
      <c r="Y21" s="130"/>
      <c r="Z21" s="132"/>
      <c r="AA21" s="132"/>
      <c r="AB21" s="132"/>
      <c r="AC21" s="132">
        <v>54288</v>
      </c>
      <c r="AD21" s="132">
        <v>7788</v>
      </c>
      <c r="AE21" s="132">
        <v>7788</v>
      </c>
      <c r="AF21" s="132">
        <v>54288</v>
      </c>
      <c r="AG21" s="132">
        <v>7788</v>
      </c>
      <c r="AH21" s="132">
        <v>7788</v>
      </c>
      <c r="AI21" s="146">
        <v>18096</v>
      </c>
      <c r="AJ21" s="146">
        <v>15500</v>
      </c>
      <c r="AK21" s="146">
        <v>2596</v>
      </c>
      <c r="AL21" s="146">
        <v>18096</v>
      </c>
      <c r="AM21" s="146">
        <v>15500</v>
      </c>
      <c r="AN21" s="146">
        <v>2596</v>
      </c>
      <c r="AO21" s="146"/>
      <c r="AP21" s="146"/>
      <c r="AQ21" s="146"/>
      <c r="AR21" s="143"/>
      <c r="AS21" s="143"/>
      <c r="AT21" s="143"/>
      <c r="AU21" s="143"/>
      <c r="AV21" s="143"/>
      <c r="AW21" s="143"/>
      <c r="AX21" s="143"/>
      <c r="AY21" s="143"/>
      <c r="AZ21" s="135"/>
    </row>
    <row r="22" spans="1:52" x14ac:dyDescent="0.3">
      <c r="A22" s="118">
        <v>45840</v>
      </c>
      <c r="B22" s="156" t="s">
        <v>75</v>
      </c>
      <c r="C22" s="156" t="s">
        <v>34</v>
      </c>
      <c r="D22" s="108" t="s">
        <v>126</v>
      </c>
      <c r="E22" s="139" t="s">
        <v>129</v>
      </c>
      <c r="F22" s="123" t="s">
        <v>82</v>
      </c>
      <c r="G22" s="157">
        <v>34000</v>
      </c>
      <c r="H22" s="125">
        <v>0.38</v>
      </c>
      <c r="I22" s="124">
        <f t="shared" si="0"/>
        <v>12920</v>
      </c>
      <c r="J22" s="124" t="s">
        <v>65</v>
      </c>
      <c r="K22" s="126">
        <v>0.5</v>
      </c>
      <c r="L22" s="124">
        <f t="shared" si="2"/>
        <v>6460</v>
      </c>
      <c r="M22" s="124">
        <v>6460</v>
      </c>
      <c r="N22" s="127" t="s">
        <v>74</v>
      </c>
      <c r="O22" s="128">
        <v>46054</v>
      </c>
      <c r="P22" s="155" t="s">
        <v>131</v>
      </c>
      <c r="Q22" s="130">
        <v>34000</v>
      </c>
      <c r="R22" s="131">
        <v>22500</v>
      </c>
      <c r="S22" s="130">
        <v>6460</v>
      </c>
      <c r="T22" s="130"/>
      <c r="U22" s="130"/>
      <c r="V22" s="130"/>
      <c r="W22" s="130"/>
      <c r="X22" s="130"/>
      <c r="Y22" s="130"/>
      <c r="Z22" s="132"/>
      <c r="AA22" s="132"/>
      <c r="AB22" s="132"/>
      <c r="AC22" s="149"/>
      <c r="AD22" s="149"/>
      <c r="AE22" s="149"/>
      <c r="AF22" s="149"/>
      <c r="AG22" s="149"/>
      <c r="AH22" s="149"/>
      <c r="AI22" s="146"/>
      <c r="AJ22" s="146"/>
      <c r="AK22" s="146"/>
      <c r="AL22" s="146"/>
      <c r="AM22" s="146"/>
      <c r="AN22" s="146"/>
      <c r="AO22" s="146"/>
      <c r="AP22" s="146"/>
      <c r="AQ22" s="146"/>
      <c r="AR22" s="143"/>
      <c r="AS22" s="143"/>
      <c r="AT22" s="143"/>
      <c r="AU22" s="143"/>
      <c r="AV22" s="143"/>
      <c r="AW22" s="143"/>
      <c r="AX22" s="143"/>
      <c r="AY22" s="143"/>
      <c r="AZ22" s="135"/>
    </row>
    <row r="23" spans="1:52" x14ac:dyDescent="0.3">
      <c r="A23" s="101"/>
      <c r="B23" s="156" t="s">
        <v>75</v>
      </c>
      <c r="C23" s="156" t="s">
        <v>34</v>
      </c>
      <c r="D23" s="144" t="s">
        <v>133</v>
      </c>
      <c r="E23" s="139" t="s">
        <v>136</v>
      </c>
      <c r="F23" s="123" t="s">
        <v>82</v>
      </c>
      <c r="G23" s="124">
        <v>250500</v>
      </c>
      <c r="H23" s="125">
        <v>0.62</v>
      </c>
      <c r="I23" s="124">
        <f t="shared" si="0"/>
        <v>155310</v>
      </c>
      <c r="J23" s="124" t="s">
        <v>65</v>
      </c>
      <c r="K23" s="126">
        <v>0.5</v>
      </c>
      <c r="L23" s="124">
        <f t="shared" si="2"/>
        <v>77655</v>
      </c>
      <c r="M23" s="124">
        <v>77655</v>
      </c>
      <c r="N23" s="127"/>
      <c r="O23" s="119"/>
      <c r="P23" s="155" t="s">
        <v>138</v>
      </c>
      <c r="Q23" s="130"/>
      <c r="R23" s="131"/>
      <c r="S23" s="130"/>
      <c r="T23" s="130"/>
      <c r="U23" s="130"/>
      <c r="V23" s="130"/>
      <c r="W23" s="130"/>
      <c r="X23" s="130"/>
      <c r="Y23" s="130"/>
      <c r="Z23" s="132"/>
      <c r="AA23" s="132"/>
      <c r="AB23" s="132"/>
      <c r="AC23" s="149"/>
      <c r="AD23" s="149"/>
      <c r="AE23" s="149"/>
      <c r="AF23" s="149"/>
      <c r="AG23" s="149"/>
      <c r="AH23" s="149"/>
      <c r="AI23" s="146"/>
      <c r="AJ23" s="146"/>
      <c r="AK23" s="146"/>
      <c r="AL23" s="146"/>
      <c r="AM23" s="146"/>
      <c r="AN23" s="146"/>
      <c r="AO23" s="146"/>
      <c r="AP23" s="146"/>
      <c r="AQ23" s="146"/>
      <c r="AR23" s="143"/>
      <c r="AS23" s="143"/>
      <c r="AT23" s="143"/>
      <c r="AU23" s="143"/>
      <c r="AV23" s="143"/>
      <c r="AW23" s="143"/>
      <c r="AX23" s="143"/>
      <c r="AY23" s="143"/>
      <c r="AZ23" s="135"/>
    </row>
    <row r="24" spans="1:52" x14ac:dyDescent="0.3">
      <c r="A24" s="118">
        <v>45818</v>
      </c>
      <c r="B24" s="156" t="s">
        <v>75</v>
      </c>
      <c r="C24" s="120" t="s">
        <v>34</v>
      </c>
      <c r="D24" s="144" t="s">
        <v>85</v>
      </c>
      <c r="E24" s="139" t="s">
        <v>137</v>
      </c>
      <c r="F24" s="123" t="s">
        <v>122</v>
      </c>
      <c r="G24" s="99">
        <v>36000</v>
      </c>
      <c r="H24" s="125">
        <v>0.67</v>
      </c>
      <c r="I24" s="124">
        <f t="shared" si="0"/>
        <v>24120</v>
      </c>
      <c r="J24" s="124" t="s">
        <v>65</v>
      </c>
      <c r="K24" s="126">
        <v>0.5</v>
      </c>
      <c r="L24" s="124">
        <v>24000</v>
      </c>
      <c r="M24" s="99">
        <v>12000</v>
      </c>
      <c r="N24" s="127"/>
      <c r="O24" s="119"/>
      <c r="P24" s="155" t="s">
        <v>139</v>
      </c>
      <c r="Q24" s="130"/>
      <c r="R24" s="131"/>
      <c r="S24" s="130"/>
      <c r="T24" s="130">
        <f>3000+6000</f>
        <v>9000</v>
      </c>
      <c r="U24" s="130">
        <f>2000+4000</f>
        <v>6000</v>
      </c>
      <c r="V24" s="130">
        <v>5084</v>
      </c>
      <c r="W24" s="130"/>
      <c r="X24" s="130"/>
      <c r="Y24" s="130">
        <v>-6013.12</v>
      </c>
      <c r="Z24" s="132"/>
      <c r="AA24" s="132"/>
      <c r="AB24" s="132"/>
      <c r="AC24" s="149"/>
      <c r="AD24" s="149"/>
      <c r="AE24" s="149"/>
      <c r="AF24" s="149"/>
      <c r="AG24" s="149"/>
      <c r="AH24" s="149"/>
      <c r="AI24" s="146"/>
      <c r="AJ24" s="146"/>
      <c r="AK24" s="146"/>
      <c r="AL24" s="146"/>
      <c r="AM24" s="146"/>
      <c r="AN24" s="146"/>
      <c r="AO24" s="146"/>
      <c r="AP24" s="146"/>
      <c r="AQ24" s="146"/>
      <c r="AR24" s="143"/>
      <c r="AS24" s="143"/>
      <c r="AT24" s="143"/>
      <c r="AU24" s="143"/>
      <c r="AV24" s="143"/>
      <c r="AW24" s="143"/>
      <c r="AX24" s="143"/>
      <c r="AY24" s="143"/>
      <c r="AZ24" s="135"/>
    </row>
    <row r="25" spans="1:52" x14ac:dyDescent="0.3">
      <c r="A25" s="118">
        <v>45818</v>
      </c>
      <c r="B25" s="156" t="s">
        <v>75</v>
      </c>
      <c r="C25" s="120" t="s">
        <v>34</v>
      </c>
      <c r="D25" s="144" t="s">
        <v>134</v>
      </c>
      <c r="E25" s="139" t="s">
        <v>137</v>
      </c>
      <c r="F25" s="123" t="s">
        <v>122</v>
      </c>
      <c r="G25" s="99">
        <v>35000</v>
      </c>
      <c r="H25" s="125">
        <v>0.66</v>
      </c>
      <c r="I25" s="124">
        <f t="shared" si="0"/>
        <v>23100</v>
      </c>
      <c r="J25" s="124" t="s">
        <v>65</v>
      </c>
      <c r="K25" s="126">
        <v>0.5</v>
      </c>
      <c r="L25" s="124">
        <v>23250</v>
      </c>
      <c r="M25" s="99">
        <v>11750</v>
      </c>
      <c r="N25" s="127"/>
      <c r="O25" s="119"/>
      <c r="P25" s="155" t="s">
        <v>140</v>
      </c>
      <c r="Q25" s="130"/>
      <c r="R25" s="131"/>
      <c r="S25" s="130"/>
      <c r="T25" s="130">
        <f>2916.5+5833.33</f>
        <v>8749.83</v>
      </c>
      <c r="U25" s="130">
        <f>1937.5+3875</f>
        <v>5812.5</v>
      </c>
      <c r="V25" s="130">
        <v>4939</v>
      </c>
      <c r="W25" s="130"/>
      <c r="X25" s="130"/>
      <c r="Y25" s="130">
        <v>-5748.16</v>
      </c>
      <c r="Z25" s="132"/>
      <c r="AA25" s="132"/>
      <c r="AB25" s="132"/>
      <c r="AC25" s="149"/>
      <c r="AD25" s="149"/>
      <c r="AE25" s="149"/>
      <c r="AF25" s="149"/>
      <c r="AG25" s="149"/>
      <c r="AH25" s="149"/>
      <c r="AI25" s="146"/>
      <c r="AJ25" s="146"/>
      <c r="AK25" s="146"/>
      <c r="AL25" s="146"/>
      <c r="AM25" s="146"/>
      <c r="AN25" s="146"/>
      <c r="AO25" s="146"/>
      <c r="AP25" s="146"/>
      <c r="AQ25" s="146"/>
      <c r="AR25" s="143"/>
      <c r="AS25" s="143"/>
      <c r="AT25" s="143"/>
      <c r="AU25" s="143"/>
      <c r="AV25" s="143"/>
      <c r="AW25" s="143"/>
      <c r="AX25" s="143"/>
      <c r="AY25" s="143"/>
      <c r="AZ25" s="135"/>
    </row>
    <row r="26" spans="1:52" x14ac:dyDescent="0.3">
      <c r="A26" s="118">
        <v>45818</v>
      </c>
      <c r="B26" s="156" t="s">
        <v>75</v>
      </c>
      <c r="C26" s="120" t="s">
        <v>34</v>
      </c>
      <c r="D26" s="144" t="s">
        <v>84</v>
      </c>
      <c r="E26" s="139" t="s">
        <v>137</v>
      </c>
      <c r="F26" s="123" t="s">
        <v>122</v>
      </c>
      <c r="G26" s="99">
        <v>34500</v>
      </c>
      <c r="H26" s="125">
        <v>0.67</v>
      </c>
      <c r="I26" s="124">
        <f t="shared" si="0"/>
        <v>23115</v>
      </c>
      <c r="J26" s="124" t="s">
        <v>65</v>
      </c>
      <c r="K26" s="126">
        <v>0.5</v>
      </c>
      <c r="L26" s="124">
        <v>23000</v>
      </c>
      <c r="M26" s="99">
        <v>11500</v>
      </c>
      <c r="N26" s="127"/>
      <c r="O26" s="119"/>
      <c r="P26" s="155" t="s">
        <v>141</v>
      </c>
      <c r="Q26" s="130"/>
      <c r="R26" s="131"/>
      <c r="S26" s="130"/>
      <c r="T26" s="130">
        <f>2875+5750</f>
        <v>8625</v>
      </c>
      <c r="U26" s="130">
        <f>1916.66+2875</f>
        <v>4791.66</v>
      </c>
      <c r="V26" s="130">
        <v>7750</v>
      </c>
      <c r="W26" s="130"/>
      <c r="X26" s="130"/>
      <c r="Y26" s="130">
        <v>-8623</v>
      </c>
      <c r="Z26" s="132"/>
      <c r="AA26" s="132"/>
      <c r="AB26" s="132"/>
      <c r="AC26" s="149"/>
      <c r="AD26" s="149"/>
      <c r="AE26" s="149"/>
      <c r="AF26" s="149"/>
      <c r="AG26" s="149"/>
      <c r="AH26" s="149"/>
      <c r="AI26" s="146"/>
      <c r="AJ26" s="146"/>
      <c r="AK26" s="146"/>
      <c r="AL26" s="146"/>
      <c r="AM26" s="146"/>
      <c r="AN26" s="146"/>
      <c r="AO26" s="146"/>
      <c r="AP26" s="146"/>
      <c r="AQ26" s="146"/>
      <c r="AR26" s="143"/>
      <c r="AS26" s="143"/>
      <c r="AT26" s="143"/>
      <c r="AU26" s="143"/>
      <c r="AV26" s="143"/>
      <c r="AW26" s="143"/>
      <c r="AX26" s="143"/>
      <c r="AY26" s="143"/>
      <c r="AZ26" s="135"/>
    </row>
    <row r="27" spans="1:52" x14ac:dyDescent="0.3">
      <c r="A27" s="118">
        <v>45818</v>
      </c>
      <c r="B27" s="156" t="s">
        <v>75</v>
      </c>
      <c r="C27" s="120" t="s">
        <v>34</v>
      </c>
      <c r="D27" s="144" t="s">
        <v>135</v>
      </c>
      <c r="E27" s="139" t="s">
        <v>137</v>
      </c>
      <c r="F27" s="123" t="s">
        <v>122</v>
      </c>
      <c r="G27" s="99">
        <v>5100</v>
      </c>
      <c r="H27" s="125">
        <v>0.68</v>
      </c>
      <c r="I27" s="124">
        <f t="shared" si="0"/>
        <v>3468.0000000000005</v>
      </c>
      <c r="J27" s="124" t="s">
        <v>65</v>
      </c>
      <c r="K27" s="126">
        <v>0.5</v>
      </c>
      <c r="L27" s="124">
        <v>3400</v>
      </c>
      <c r="M27" s="99">
        <v>1700</v>
      </c>
      <c r="N27" s="127"/>
      <c r="O27" s="119"/>
      <c r="P27" s="155" t="s">
        <v>142</v>
      </c>
      <c r="Q27" s="130"/>
      <c r="R27" s="131"/>
      <c r="S27" s="130"/>
      <c r="T27" s="130">
        <f>425+850</f>
        <v>1275</v>
      </c>
      <c r="U27" s="130">
        <v>1000</v>
      </c>
      <c r="V27" s="130">
        <v>724</v>
      </c>
      <c r="W27" s="130"/>
      <c r="X27" s="130"/>
      <c r="Y27" s="130">
        <v>-839.04</v>
      </c>
      <c r="Z27" s="132"/>
      <c r="AA27" s="132"/>
      <c r="AB27" s="132"/>
      <c r="AC27" s="149"/>
      <c r="AD27" s="149"/>
      <c r="AE27" s="149"/>
      <c r="AF27" s="149"/>
      <c r="AG27" s="149"/>
      <c r="AH27" s="149"/>
      <c r="AI27" s="146"/>
      <c r="AJ27" s="146"/>
      <c r="AK27" s="146"/>
      <c r="AL27" s="146"/>
      <c r="AM27" s="146"/>
      <c r="AN27" s="146"/>
      <c r="AO27" s="146"/>
      <c r="AP27" s="146"/>
      <c r="AQ27" s="146"/>
      <c r="AR27" s="143"/>
      <c r="AS27" s="143"/>
      <c r="AT27" s="143"/>
      <c r="AU27" s="143"/>
      <c r="AV27" s="143"/>
      <c r="AW27" s="143"/>
      <c r="AX27" s="143"/>
      <c r="AY27" s="143"/>
      <c r="AZ27" s="135"/>
    </row>
    <row r="28" spans="1:52" x14ac:dyDescent="0.3">
      <c r="A28" s="102">
        <v>45877</v>
      </c>
      <c r="B28" s="156" t="s">
        <v>75</v>
      </c>
      <c r="C28" s="120" t="s">
        <v>34</v>
      </c>
      <c r="D28" s="108" t="s">
        <v>126</v>
      </c>
      <c r="E28" s="139" t="s">
        <v>144</v>
      </c>
      <c r="F28" s="123" t="s">
        <v>35</v>
      </c>
      <c r="G28" s="124">
        <v>6950</v>
      </c>
      <c r="H28" s="125">
        <v>1</v>
      </c>
      <c r="I28" s="124">
        <f t="shared" si="0"/>
        <v>6950</v>
      </c>
      <c r="J28" s="124" t="s">
        <v>60</v>
      </c>
      <c r="K28" s="126">
        <v>0.7</v>
      </c>
      <c r="L28" s="124">
        <f t="shared" si="2"/>
        <v>4865</v>
      </c>
      <c r="M28" s="124">
        <f t="shared" si="1"/>
        <v>2085</v>
      </c>
      <c r="N28" s="127"/>
      <c r="O28" s="128">
        <v>46023</v>
      </c>
      <c r="P28" s="155" t="s">
        <v>148</v>
      </c>
      <c r="Q28" s="130"/>
      <c r="R28" s="131"/>
      <c r="S28" s="130"/>
      <c r="T28" s="130"/>
      <c r="U28" s="130"/>
      <c r="V28" s="130"/>
      <c r="W28" s="130"/>
      <c r="X28" s="130"/>
      <c r="Y28" s="130"/>
      <c r="Z28" s="132"/>
      <c r="AA28" s="132"/>
      <c r="AB28" s="132"/>
      <c r="AC28" s="132">
        <v>6950</v>
      </c>
      <c r="AD28" s="132">
        <v>6950</v>
      </c>
      <c r="AE28" s="132">
        <v>2085</v>
      </c>
      <c r="AF28" s="149"/>
      <c r="AG28" s="149"/>
      <c r="AH28" s="149"/>
      <c r="AI28" s="146"/>
      <c r="AJ28" s="146"/>
      <c r="AK28" s="146"/>
      <c r="AL28" s="146"/>
      <c r="AM28" s="146"/>
      <c r="AN28" s="146"/>
      <c r="AO28" s="146"/>
      <c r="AP28" s="146"/>
      <c r="AQ28" s="146"/>
      <c r="AR28" s="143"/>
      <c r="AS28" s="143"/>
      <c r="AT28" s="143"/>
      <c r="AU28" s="143"/>
      <c r="AV28" s="143"/>
      <c r="AW28" s="143"/>
      <c r="AX28" s="143"/>
      <c r="AY28" s="143"/>
      <c r="AZ28" s="135"/>
    </row>
    <row r="29" spans="1:52" x14ac:dyDescent="0.3">
      <c r="A29" s="118">
        <v>45967</v>
      </c>
      <c r="B29" s="156" t="s">
        <v>75</v>
      </c>
      <c r="C29" s="120" t="s">
        <v>147</v>
      </c>
      <c r="D29" s="108" t="s">
        <v>143</v>
      </c>
      <c r="E29" s="139" t="s">
        <v>145</v>
      </c>
      <c r="F29" s="123" t="s">
        <v>146</v>
      </c>
      <c r="G29" s="124">
        <v>72445</v>
      </c>
      <c r="H29" s="125">
        <v>0.1</v>
      </c>
      <c r="I29" s="124">
        <f t="shared" si="0"/>
        <v>7244.5</v>
      </c>
      <c r="J29" s="124" t="s">
        <v>65</v>
      </c>
      <c r="K29" s="126">
        <v>0.5</v>
      </c>
      <c r="L29" s="124">
        <f t="shared" si="2"/>
        <v>3622.25</v>
      </c>
      <c r="M29" s="124">
        <f t="shared" si="1"/>
        <v>3622.25</v>
      </c>
      <c r="N29" s="127"/>
      <c r="O29" s="128">
        <v>46054</v>
      </c>
      <c r="P29" s="155" t="s">
        <v>149</v>
      </c>
      <c r="Q29" s="130"/>
      <c r="R29" s="131"/>
      <c r="S29" s="130"/>
      <c r="T29" s="130">
        <v>72445.820000000007</v>
      </c>
      <c r="U29" s="130">
        <v>4045.6</v>
      </c>
      <c r="V29" s="130">
        <v>4045.6</v>
      </c>
      <c r="W29" s="130"/>
      <c r="X29" s="130"/>
      <c r="Y29" s="130"/>
      <c r="Z29" s="132"/>
      <c r="AA29" s="132"/>
      <c r="AB29" s="132"/>
      <c r="AC29" s="149"/>
      <c r="AD29" s="149"/>
      <c r="AE29" s="149"/>
      <c r="AF29" s="149"/>
      <c r="AG29" s="149"/>
      <c r="AH29" s="149"/>
      <c r="AI29" s="146"/>
      <c r="AJ29" s="146"/>
      <c r="AK29" s="146"/>
      <c r="AL29" s="146"/>
      <c r="AM29" s="146"/>
      <c r="AN29" s="146"/>
      <c r="AO29" s="146"/>
      <c r="AP29" s="146"/>
      <c r="AQ29" s="146"/>
      <c r="AR29" s="143"/>
      <c r="AS29" s="143"/>
      <c r="AT29" s="143"/>
      <c r="AU29" s="143"/>
      <c r="AV29" s="143"/>
      <c r="AW29" s="143"/>
      <c r="AX29" s="143"/>
      <c r="AY29" s="143"/>
      <c r="AZ29" s="135"/>
    </row>
    <row r="30" spans="1:52" x14ac:dyDescent="0.3">
      <c r="A30" s="154"/>
      <c r="B30" s="156" t="s">
        <v>75</v>
      </c>
      <c r="C30" s="120" t="s">
        <v>112</v>
      </c>
      <c r="D30" s="103" t="s">
        <v>150</v>
      </c>
      <c r="E30" s="139" t="s">
        <v>152</v>
      </c>
      <c r="F30" s="123" t="s">
        <v>112</v>
      </c>
      <c r="G30" s="124">
        <v>131098</v>
      </c>
      <c r="H30" s="125">
        <v>0.182</v>
      </c>
      <c r="I30" s="124">
        <f t="shared" si="0"/>
        <v>23859.835999999999</v>
      </c>
      <c r="J30" s="124" t="s">
        <v>60</v>
      </c>
      <c r="K30" s="126">
        <v>0.5</v>
      </c>
      <c r="L30" s="124">
        <f t="shared" si="2"/>
        <v>11929.918</v>
      </c>
      <c r="M30" s="124">
        <f t="shared" si="1"/>
        <v>11929.918</v>
      </c>
      <c r="N30" s="127"/>
      <c r="O30" s="128">
        <v>46113</v>
      </c>
      <c r="P30" s="155" t="s">
        <v>154</v>
      </c>
      <c r="Q30" s="130"/>
      <c r="R30" s="131"/>
      <c r="S30" s="130"/>
      <c r="T30" s="130"/>
      <c r="U30" s="130"/>
      <c r="V30" s="130"/>
      <c r="W30" s="130">
        <v>131098</v>
      </c>
      <c r="X30" s="130">
        <v>18353.72</v>
      </c>
      <c r="Y30" s="130">
        <v>11936.51</v>
      </c>
      <c r="Z30" s="132"/>
      <c r="AA30" s="132"/>
      <c r="AB30" s="132"/>
      <c r="AC30" s="149"/>
      <c r="AD30" s="149"/>
      <c r="AE30" s="149"/>
      <c r="AF30" s="149"/>
      <c r="AG30" s="149"/>
      <c r="AH30" s="149"/>
      <c r="AI30" s="146"/>
      <c r="AJ30" s="146"/>
      <c r="AK30" s="146"/>
      <c r="AL30" s="146"/>
      <c r="AM30" s="146"/>
      <c r="AN30" s="146"/>
      <c r="AO30" s="146"/>
      <c r="AP30" s="146"/>
      <c r="AQ30" s="146"/>
      <c r="AR30" s="143"/>
      <c r="AS30" s="143"/>
      <c r="AT30" s="143"/>
      <c r="AU30" s="143"/>
      <c r="AV30" s="143"/>
      <c r="AW30" s="143"/>
      <c r="AX30" s="143"/>
      <c r="AY30" s="143"/>
      <c r="AZ30" s="135"/>
    </row>
    <row r="31" spans="1:52" x14ac:dyDescent="0.3">
      <c r="A31" s="154"/>
      <c r="B31" s="156" t="s">
        <v>75</v>
      </c>
      <c r="C31" s="120" t="s">
        <v>147</v>
      </c>
      <c r="D31" s="121" t="s">
        <v>98</v>
      </c>
      <c r="E31" s="139" t="s">
        <v>156</v>
      </c>
      <c r="F31" s="123" t="s">
        <v>146</v>
      </c>
      <c r="G31" s="124">
        <v>14500</v>
      </c>
      <c r="H31" s="125">
        <v>1</v>
      </c>
      <c r="I31" s="124">
        <f t="shared" si="0"/>
        <v>14500</v>
      </c>
      <c r="J31" s="124" t="s">
        <v>60</v>
      </c>
      <c r="K31" s="126">
        <v>0.5</v>
      </c>
      <c r="L31" s="124">
        <f t="shared" si="2"/>
        <v>7250</v>
      </c>
      <c r="M31" s="124">
        <f t="shared" si="1"/>
        <v>7250</v>
      </c>
      <c r="N31" s="127"/>
      <c r="O31" s="128">
        <v>46143</v>
      </c>
      <c r="P31" s="155" t="s">
        <v>160</v>
      </c>
      <c r="Q31" s="130"/>
      <c r="R31" s="131"/>
      <c r="S31" s="130"/>
      <c r="T31" s="130"/>
      <c r="U31" s="130"/>
      <c r="V31" s="130"/>
      <c r="W31" s="130"/>
      <c r="X31" s="130"/>
      <c r="Y31" s="130"/>
      <c r="Z31" s="132">
        <v>14500</v>
      </c>
      <c r="AA31" s="132">
        <v>14500</v>
      </c>
      <c r="AB31" s="132">
        <v>10250</v>
      </c>
      <c r="AC31" s="149"/>
      <c r="AD31" s="149"/>
      <c r="AE31" s="149"/>
      <c r="AF31" s="149"/>
      <c r="AG31" s="149"/>
      <c r="AH31" s="149"/>
      <c r="AI31" s="146"/>
      <c r="AJ31" s="146"/>
      <c r="AK31" s="146"/>
      <c r="AL31" s="146"/>
      <c r="AM31" s="146"/>
      <c r="AN31" s="146"/>
      <c r="AO31" s="146"/>
      <c r="AP31" s="146"/>
      <c r="AQ31" s="146"/>
      <c r="AR31" s="143"/>
      <c r="AS31" s="143"/>
      <c r="AT31" s="143"/>
      <c r="AU31" s="143"/>
      <c r="AV31" s="143"/>
      <c r="AW31" s="143"/>
      <c r="AX31" s="143"/>
      <c r="AY31" s="143"/>
      <c r="AZ31" s="135"/>
    </row>
    <row r="32" spans="1:52" x14ac:dyDescent="0.3">
      <c r="A32" s="154"/>
      <c r="B32" s="156" t="s">
        <v>75</v>
      </c>
      <c r="C32" s="120" t="s">
        <v>34</v>
      </c>
      <c r="D32" s="121" t="s">
        <v>109</v>
      </c>
      <c r="E32" s="139" t="s">
        <v>157</v>
      </c>
      <c r="F32" s="123" t="s">
        <v>122</v>
      </c>
      <c r="G32" s="124">
        <v>33000</v>
      </c>
      <c r="H32" s="125"/>
      <c r="I32" s="124">
        <f t="shared" si="0"/>
        <v>0</v>
      </c>
      <c r="J32" s="124"/>
      <c r="K32" s="126"/>
      <c r="L32" s="124">
        <f t="shared" si="2"/>
        <v>0</v>
      </c>
      <c r="M32" s="124">
        <f t="shared" si="1"/>
        <v>0</v>
      </c>
      <c r="N32" s="127"/>
      <c r="O32" s="119"/>
      <c r="P32" s="155" t="s">
        <v>169</v>
      </c>
      <c r="Q32" s="130"/>
      <c r="R32" s="131"/>
      <c r="S32" s="130"/>
      <c r="T32" s="130">
        <v>8250</v>
      </c>
      <c r="U32" s="130"/>
      <c r="V32" s="130">
        <v>5687</v>
      </c>
      <c r="W32" s="130"/>
      <c r="X32" s="130"/>
      <c r="Y32" s="130"/>
      <c r="Z32" s="132"/>
      <c r="AA32" s="132"/>
      <c r="AB32" s="132"/>
      <c r="AC32" s="149"/>
      <c r="AD32" s="149"/>
      <c r="AE32" s="149"/>
      <c r="AF32" s="149"/>
      <c r="AG32" s="149"/>
      <c r="AH32" s="149"/>
      <c r="AI32" s="146"/>
      <c r="AJ32" s="146"/>
      <c r="AK32" s="146"/>
      <c r="AL32" s="146"/>
      <c r="AM32" s="146"/>
      <c r="AN32" s="146"/>
      <c r="AO32" s="146"/>
      <c r="AP32" s="146"/>
      <c r="AQ32" s="146"/>
      <c r="AR32" s="143"/>
      <c r="AS32" s="143"/>
      <c r="AT32" s="143"/>
      <c r="AU32" s="143"/>
      <c r="AV32" s="143"/>
      <c r="AW32" s="143"/>
      <c r="AX32" s="143"/>
      <c r="AY32" s="143"/>
      <c r="AZ32" s="135"/>
    </row>
    <row r="33" spans="1:55" x14ac:dyDescent="0.3">
      <c r="A33" s="154"/>
      <c r="B33" s="156" t="s">
        <v>75</v>
      </c>
      <c r="C33" s="120" t="s">
        <v>112</v>
      </c>
      <c r="D33" s="121" t="s">
        <v>111</v>
      </c>
      <c r="E33" s="139" t="s">
        <v>158</v>
      </c>
      <c r="F33" s="123" t="s">
        <v>112</v>
      </c>
      <c r="G33" s="124">
        <v>52000</v>
      </c>
      <c r="H33" s="125">
        <v>1</v>
      </c>
      <c r="I33" s="124">
        <f t="shared" si="0"/>
        <v>52000</v>
      </c>
      <c r="J33" s="124" t="s">
        <v>60</v>
      </c>
      <c r="K33" s="126">
        <v>0.5</v>
      </c>
      <c r="L33" s="124">
        <f t="shared" si="2"/>
        <v>26000</v>
      </c>
      <c r="M33" s="124">
        <f t="shared" si="1"/>
        <v>26000</v>
      </c>
      <c r="N33" s="127"/>
      <c r="O33" s="119"/>
      <c r="P33" s="159" t="s">
        <v>161</v>
      </c>
      <c r="Q33" s="130"/>
      <c r="R33" s="131"/>
      <c r="S33" s="130"/>
      <c r="T33" s="130"/>
      <c r="U33" s="130"/>
      <c r="V33" s="130"/>
      <c r="W33" s="130"/>
      <c r="X33" s="130"/>
      <c r="Y33" s="130"/>
      <c r="Z33" s="132"/>
      <c r="AA33" s="132"/>
      <c r="AB33" s="132"/>
      <c r="AC33" s="132">
        <v>52000</v>
      </c>
      <c r="AD33" s="132">
        <v>17500</v>
      </c>
      <c r="AE33" s="132">
        <v>8750</v>
      </c>
      <c r="AF33" s="149"/>
      <c r="AG33" s="149"/>
      <c r="AH33" s="149"/>
      <c r="AI33" s="146"/>
      <c r="AJ33" s="146"/>
      <c r="AK33" s="146"/>
      <c r="AL33" s="146"/>
      <c r="AM33" s="146"/>
      <c r="AN33" s="146"/>
      <c r="AO33" s="146"/>
      <c r="AP33" s="146"/>
      <c r="AQ33" s="146"/>
      <c r="AR33" s="143"/>
      <c r="AS33" s="143"/>
      <c r="AT33" s="143"/>
      <c r="AU33" s="143"/>
      <c r="AV33" s="143"/>
      <c r="AW33" s="143"/>
      <c r="AX33" s="143"/>
      <c r="AY33" s="143"/>
      <c r="AZ33" s="135"/>
    </row>
    <row r="34" spans="1:55" x14ac:dyDescent="0.3">
      <c r="A34" s="154"/>
      <c r="B34" s="156" t="s">
        <v>75</v>
      </c>
      <c r="C34" s="120" t="s">
        <v>112</v>
      </c>
      <c r="D34" s="144" t="s">
        <v>111</v>
      </c>
      <c r="E34" s="139" t="s">
        <v>159</v>
      </c>
      <c r="F34" s="123" t="s">
        <v>112</v>
      </c>
      <c r="G34" s="124">
        <v>87000</v>
      </c>
      <c r="H34" s="125">
        <v>1</v>
      </c>
      <c r="I34" s="124">
        <f t="shared" si="0"/>
        <v>87000</v>
      </c>
      <c r="J34" s="124" t="s">
        <v>60</v>
      </c>
      <c r="K34" s="126">
        <v>0.5</v>
      </c>
      <c r="L34" s="124">
        <f t="shared" si="2"/>
        <v>43500</v>
      </c>
      <c r="M34" s="124">
        <f t="shared" si="1"/>
        <v>43500</v>
      </c>
      <c r="N34" s="127"/>
      <c r="O34" s="128">
        <v>46054</v>
      </c>
      <c r="P34" s="155"/>
      <c r="Q34" s="130"/>
      <c r="R34" s="131"/>
      <c r="S34" s="130">
        <v>43500</v>
      </c>
      <c r="T34" s="130"/>
      <c r="U34" s="130"/>
      <c r="V34" s="130"/>
      <c r="W34" s="130"/>
      <c r="X34" s="130"/>
      <c r="Y34" s="130"/>
      <c r="Z34" s="132"/>
      <c r="AA34" s="132"/>
      <c r="AB34" s="132"/>
      <c r="AC34" s="149"/>
      <c r="AD34" s="149"/>
      <c r="AE34" s="149"/>
      <c r="AF34" s="149"/>
      <c r="AG34" s="149"/>
      <c r="AH34" s="149"/>
      <c r="AI34" s="146"/>
      <c r="AJ34" s="146"/>
      <c r="AK34" s="146"/>
      <c r="AL34" s="146"/>
      <c r="AM34" s="146"/>
      <c r="AN34" s="146"/>
      <c r="AO34" s="146"/>
      <c r="AP34" s="146"/>
      <c r="AQ34" s="146"/>
      <c r="AR34" s="143"/>
      <c r="AS34" s="143"/>
      <c r="AT34" s="143"/>
      <c r="AU34" s="143"/>
      <c r="AV34" s="143"/>
      <c r="AW34" s="143"/>
      <c r="AX34" s="143"/>
      <c r="AY34" s="143"/>
      <c r="AZ34" s="135"/>
    </row>
    <row r="35" spans="1:55" x14ac:dyDescent="0.3">
      <c r="A35" s="154"/>
      <c r="B35" s="156" t="s">
        <v>75</v>
      </c>
      <c r="C35" s="120" t="s">
        <v>112</v>
      </c>
      <c r="D35" s="144" t="s">
        <v>151</v>
      </c>
      <c r="E35" s="139" t="s">
        <v>153</v>
      </c>
      <c r="F35" s="123" t="s">
        <v>112</v>
      </c>
      <c r="G35" s="157">
        <v>84520</v>
      </c>
      <c r="H35" s="125">
        <v>0.2075891</v>
      </c>
      <c r="I35" s="124">
        <f t="shared" si="0"/>
        <v>17545.430732000001</v>
      </c>
      <c r="J35" s="124"/>
      <c r="K35" s="126">
        <v>0.5</v>
      </c>
      <c r="L35" s="124">
        <f t="shared" si="2"/>
        <v>8772.7153660000004</v>
      </c>
      <c r="M35" s="124">
        <f t="shared" si="1"/>
        <v>8772.7153660000004</v>
      </c>
      <c r="N35" s="127"/>
      <c r="O35" s="128">
        <v>46054</v>
      </c>
      <c r="P35" s="155" t="s">
        <v>155</v>
      </c>
      <c r="Q35" s="130">
        <v>84520.8</v>
      </c>
      <c r="R35" s="131">
        <v>17545.599999999999</v>
      </c>
      <c r="S35" s="130">
        <v>8772.7999999999993</v>
      </c>
      <c r="T35" s="130"/>
      <c r="U35" s="130"/>
      <c r="V35" s="130"/>
      <c r="W35" s="130"/>
      <c r="X35" s="130"/>
      <c r="Y35" s="130"/>
      <c r="Z35" s="132"/>
      <c r="AA35" s="132"/>
      <c r="AB35" s="132"/>
      <c r="AC35" s="149"/>
      <c r="AD35" s="149"/>
      <c r="AE35" s="149"/>
      <c r="AF35" s="149"/>
      <c r="AG35" s="149"/>
      <c r="AH35" s="149"/>
      <c r="AI35" s="146"/>
      <c r="AJ35" s="146"/>
      <c r="AK35" s="146"/>
      <c r="AL35" s="146"/>
      <c r="AM35" s="146"/>
      <c r="AN35" s="146"/>
      <c r="AO35" s="146"/>
      <c r="AP35" s="146"/>
      <c r="AQ35" s="146"/>
      <c r="AR35" s="143"/>
      <c r="AS35" s="143"/>
      <c r="AT35" s="143"/>
      <c r="AU35" s="143"/>
      <c r="AV35" s="143"/>
      <c r="AW35" s="143"/>
      <c r="AX35" s="143"/>
      <c r="AY35" s="143"/>
      <c r="AZ35" s="135"/>
    </row>
    <row r="36" spans="1:55" x14ac:dyDescent="0.3">
      <c r="A36" s="154"/>
      <c r="B36" s="156" t="s">
        <v>75</v>
      </c>
      <c r="C36" s="120" t="s">
        <v>147</v>
      </c>
      <c r="D36" s="144" t="s">
        <v>126</v>
      </c>
      <c r="E36" s="122" t="s">
        <v>162</v>
      </c>
      <c r="F36" s="123" t="s">
        <v>146</v>
      </c>
      <c r="G36" s="124">
        <v>21000</v>
      </c>
      <c r="H36" s="125">
        <v>0.05</v>
      </c>
      <c r="I36" s="124">
        <v>1881.08</v>
      </c>
      <c r="J36" s="124"/>
      <c r="K36" s="126">
        <v>0.5</v>
      </c>
      <c r="L36" s="124">
        <f t="shared" si="2"/>
        <v>940.54</v>
      </c>
      <c r="M36" s="124">
        <f t="shared" si="1"/>
        <v>940.54</v>
      </c>
      <c r="N36" s="127"/>
      <c r="O36" s="128">
        <v>46054</v>
      </c>
      <c r="P36" s="155" t="s">
        <v>163</v>
      </c>
      <c r="Q36" s="130">
        <v>21000</v>
      </c>
      <c r="R36" s="131">
        <v>1881.08</v>
      </c>
      <c r="S36" s="130">
        <v>940.54</v>
      </c>
      <c r="T36" s="130"/>
      <c r="U36" s="130"/>
      <c r="V36" s="130"/>
      <c r="W36" s="130"/>
      <c r="X36" s="130"/>
      <c r="Y36" s="130"/>
      <c r="Z36" s="132"/>
      <c r="AA36" s="132"/>
      <c r="AB36" s="132"/>
      <c r="AC36" s="149"/>
      <c r="AD36" s="149"/>
      <c r="AE36" s="149"/>
      <c r="AF36" s="149"/>
      <c r="AG36" s="149"/>
      <c r="AH36" s="149"/>
      <c r="AI36" s="146"/>
      <c r="AJ36" s="146"/>
      <c r="AK36" s="146"/>
      <c r="AL36" s="146"/>
      <c r="AM36" s="146"/>
      <c r="AN36" s="146"/>
      <c r="AO36" s="146"/>
      <c r="AP36" s="146"/>
      <c r="AQ36" s="146"/>
      <c r="AR36" s="143"/>
      <c r="AS36" s="143"/>
      <c r="AT36" s="143"/>
      <c r="AU36" s="143"/>
      <c r="AV36" s="143"/>
      <c r="AW36" s="143"/>
      <c r="AX36" s="143"/>
      <c r="AY36" s="143"/>
      <c r="AZ36" s="135"/>
    </row>
    <row r="37" spans="1:55" x14ac:dyDescent="0.3">
      <c r="A37" s="154"/>
      <c r="B37" s="156" t="s">
        <v>75</v>
      </c>
      <c r="C37" s="120" t="s">
        <v>112</v>
      </c>
      <c r="D37" s="144" t="s">
        <v>164</v>
      </c>
      <c r="E37" s="139" t="s">
        <v>165</v>
      </c>
      <c r="F37" s="123" t="s">
        <v>112</v>
      </c>
      <c r="G37" s="124">
        <v>12822.41</v>
      </c>
      <c r="H37" s="125">
        <v>0.18876399999999999</v>
      </c>
      <c r="I37" s="124">
        <f t="shared" ref="I37" si="3">H37*G37</f>
        <v>2420.4094012399996</v>
      </c>
      <c r="J37" s="124"/>
      <c r="K37" s="126">
        <v>0.5</v>
      </c>
      <c r="L37" s="124">
        <f t="shared" ref="L37" si="4">I37*K37</f>
        <v>1210.2047006199998</v>
      </c>
      <c r="M37" s="124">
        <f t="shared" ref="M37" si="5">I37-L37</f>
        <v>1210.2047006199998</v>
      </c>
      <c r="N37" s="127"/>
      <c r="O37" s="128">
        <v>46054</v>
      </c>
      <c r="P37" s="155" t="s">
        <v>166</v>
      </c>
      <c r="Q37" s="130">
        <v>12822.41</v>
      </c>
      <c r="R37" s="131">
        <v>2420.41</v>
      </c>
      <c r="S37" s="130">
        <v>1210.2</v>
      </c>
      <c r="T37" s="130"/>
      <c r="U37" s="130"/>
      <c r="V37" s="130"/>
      <c r="W37" s="130"/>
      <c r="X37" s="130"/>
      <c r="Y37" s="130"/>
      <c r="Z37" s="132"/>
      <c r="AA37" s="132"/>
      <c r="AB37" s="132"/>
      <c r="AC37" s="149"/>
      <c r="AD37" s="149"/>
      <c r="AE37" s="149"/>
      <c r="AF37" s="149"/>
      <c r="AG37" s="149"/>
      <c r="AH37" s="149"/>
      <c r="AI37" s="146"/>
      <c r="AJ37" s="146"/>
      <c r="AK37" s="146"/>
      <c r="AL37" s="146"/>
      <c r="AM37" s="146"/>
      <c r="AN37" s="146"/>
      <c r="AO37" s="146"/>
      <c r="AP37" s="146"/>
      <c r="AQ37" s="146"/>
      <c r="AR37" s="143"/>
      <c r="AS37" s="143"/>
      <c r="AT37" s="143"/>
      <c r="AU37" s="143"/>
      <c r="AV37" s="143"/>
      <c r="AW37" s="143"/>
      <c r="AX37" s="143"/>
      <c r="AY37" s="143"/>
      <c r="AZ37" s="135"/>
    </row>
    <row r="38" spans="1:55" x14ac:dyDescent="0.3">
      <c r="A38" s="154"/>
      <c r="B38" s="156" t="s">
        <v>75</v>
      </c>
      <c r="C38" s="120" t="s">
        <v>34</v>
      </c>
      <c r="D38" s="121" t="s">
        <v>107</v>
      </c>
      <c r="E38" s="139" t="s">
        <v>167</v>
      </c>
      <c r="F38" s="123" t="s">
        <v>35</v>
      </c>
      <c r="G38" s="157">
        <v>222000</v>
      </c>
      <c r="H38" s="125">
        <v>1</v>
      </c>
      <c r="I38" s="124">
        <f t="shared" ref="I38" si="6">H38*G38</f>
        <v>222000</v>
      </c>
      <c r="J38" s="124" t="s">
        <v>60</v>
      </c>
      <c r="K38" s="126">
        <v>0.7</v>
      </c>
      <c r="L38" s="124">
        <f t="shared" ref="L38" si="7">I38*K38</f>
        <v>155400</v>
      </c>
      <c r="M38" s="124">
        <f t="shared" ref="M38" si="8">I38-L38</f>
        <v>66600</v>
      </c>
      <c r="N38" s="127"/>
      <c r="O38" s="128">
        <v>46143</v>
      </c>
      <c r="P38" s="155" t="s">
        <v>168</v>
      </c>
      <c r="Q38" s="130">
        <v>45848</v>
      </c>
      <c r="R38" s="131">
        <v>45848</v>
      </c>
      <c r="S38" s="130">
        <v>18273</v>
      </c>
      <c r="T38" s="130">
        <v>9652</v>
      </c>
      <c r="U38" s="130">
        <v>9652</v>
      </c>
      <c r="V38" s="130">
        <v>-1624</v>
      </c>
      <c r="W38" s="130"/>
      <c r="X38" s="130"/>
      <c r="Y38" s="130"/>
      <c r="Z38" s="132"/>
      <c r="AA38" s="132"/>
      <c r="AB38" s="132"/>
      <c r="AC38" s="149"/>
      <c r="AD38" s="149"/>
      <c r="AE38" s="149"/>
      <c r="AF38" s="149"/>
      <c r="AG38" s="149"/>
      <c r="AH38" s="149"/>
      <c r="AI38" s="146"/>
      <c r="AJ38" s="146"/>
      <c r="AK38" s="146"/>
      <c r="AL38" s="146"/>
      <c r="AM38" s="146"/>
      <c r="AN38" s="146"/>
      <c r="AO38" s="146"/>
      <c r="AP38" s="146"/>
      <c r="AQ38" s="146"/>
      <c r="AR38" s="143"/>
      <c r="AS38" s="143"/>
      <c r="AT38" s="143"/>
      <c r="AU38" s="143"/>
      <c r="AV38" s="143"/>
      <c r="AW38" s="143"/>
      <c r="AX38" s="143"/>
      <c r="AY38" s="143"/>
      <c r="AZ38" s="135"/>
    </row>
    <row r="39" spans="1:55" x14ac:dyDescent="0.3">
      <c r="A39" s="154"/>
      <c r="B39" s="156" t="s">
        <v>75</v>
      </c>
      <c r="C39" s="120" t="s">
        <v>34</v>
      </c>
      <c r="D39" s="121" t="s">
        <v>111</v>
      </c>
      <c r="E39" s="139" t="s">
        <v>172</v>
      </c>
      <c r="F39" s="123" t="s">
        <v>35</v>
      </c>
      <c r="G39" s="124">
        <v>48000</v>
      </c>
      <c r="H39" s="125">
        <v>0.27160000000000001</v>
      </c>
      <c r="I39" s="124">
        <f t="shared" ref="I39:I44" si="9">H39*G39</f>
        <v>13036.800000000001</v>
      </c>
      <c r="J39" s="124" t="s">
        <v>60</v>
      </c>
      <c r="K39" s="126">
        <v>0.5</v>
      </c>
      <c r="L39" s="124">
        <f t="shared" ref="L39:L43" si="10">I39*K39</f>
        <v>6518.4000000000005</v>
      </c>
      <c r="M39" s="124">
        <f t="shared" ref="M39:M43" si="11">I39-L39</f>
        <v>6518.4000000000005</v>
      </c>
      <c r="N39" s="127"/>
      <c r="O39" s="128">
        <v>46143</v>
      </c>
      <c r="P39" s="155" t="s">
        <v>170</v>
      </c>
      <c r="Q39" s="130"/>
      <c r="R39" s="145"/>
      <c r="S39" s="130"/>
      <c r="T39" s="130">
        <v>7627</v>
      </c>
      <c r="U39" s="130">
        <v>3967</v>
      </c>
      <c r="V39" s="130">
        <v>3660</v>
      </c>
      <c r="W39" s="130">
        <v>4077</v>
      </c>
      <c r="X39" s="130">
        <v>4077</v>
      </c>
      <c r="Y39" s="130">
        <v>278</v>
      </c>
      <c r="Z39" s="132">
        <v>4000</v>
      </c>
      <c r="AA39" s="132">
        <v>1086.4000000000001</v>
      </c>
      <c r="AB39" s="132">
        <v>543.20000000000005</v>
      </c>
      <c r="AC39" s="149">
        <v>4000</v>
      </c>
      <c r="AD39" s="149">
        <v>1086.4000000000001</v>
      </c>
      <c r="AE39" s="149">
        <v>543.20000000000005</v>
      </c>
      <c r="AF39" s="149">
        <v>4000</v>
      </c>
      <c r="AG39" s="149">
        <v>1086.4000000000001</v>
      </c>
      <c r="AH39" s="149">
        <v>543.20000000000005</v>
      </c>
      <c r="AI39" s="146">
        <v>4000</v>
      </c>
      <c r="AJ39" s="146">
        <v>1086.4000000000001</v>
      </c>
      <c r="AK39" s="146">
        <v>543.20000000000005</v>
      </c>
      <c r="AL39" s="146">
        <v>4000</v>
      </c>
      <c r="AM39" s="146">
        <v>1086.4000000000001</v>
      </c>
      <c r="AN39" s="146">
        <v>543.20000000000005</v>
      </c>
      <c r="AO39" s="146">
        <v>4000</v>
      </c>
      <c r="AP39" s="146">
        <v>1086.4000000000001</v>
      </c>
      <c r="AQ39" s="146">
        <v>543.20000000000005</v>
      </c>
      <c r="AR39" s="143">
        <v>4000</v>
      </c>
      <c r="AS39" s="143">
        <v>1086.4000000000001</v>
      </c>
      <c r="AT39" s="143">
        <v>543.20000000000005</v>
      </c>
      <c r="AU39" s="143">
        <v>4000</v>
      </c>
      <c r="AV39" s="143">
        <v>1086.4000000000001</v>
      </c>
      <c r="AW39" s="143">
        <v>543.20000000000005</v>
      </c>
      <c r="AX39" s="143">
        <v>4000</v>
      </c>
      <c r="AY39" s="143">
        <v>1086.4000000000001</v>
      </c>
      <c r="AZ39" s="135">
        <v>543.20000000000005</v>
      </c>
    </row>
    <row r="40" spans="1:55" x14ac:dyDescent="0.3">
      <c r="A40" s="154"/>
      <c r="B40" s="156" t="s">
        <v>75</v>
      </c>
      <c r="C40" s="120" t="s">
        <v>112</v>
      </c>
      <c r="D40" s="103" t="s">
        <v>111</v>
      </c>
      <c r="E40" s="139" t="s">
        <v>171</v>
      </c>
      <c r="F40" s="123" t="s">
        <v>112</v>
      </c>
      <c r="G40" s="124">
        <v>120000</v>
      </c>
      <c r="H40" s="125">
        <v>1</v>
      </c>
      <c r="I40" s="124">
        <f t="shared" si="9"/>
        <v>120000</v>
      </c>
      <c r="J40" s="124" t="s">
        <v>60</v>
      </c>
      <c r="K40" s="126">
        <v>0.5</v>
      </c>
      <c r="L40" s="124">
        <f t="shared" si="10"/>
        <v>60000</v>
      </c>
      <c r="M40" s="124">
        <f t="shared" si="11"/>
        <v>60000</v>
      </c>
      <c r="N40" s="127"/>
      <c r="O40" s="119"/>
      <c r="P40" s="159"/>
      <c r="Q40" s="130"/>
      <c r="R40" s="145"/>
      <c r="S40" s="130"/>
      <c r="T40" s="130"/>
      <c r="U40" s="130"/>
      <c r="V40" s="130"/>
      <c r="W40" s="130"/>
      <c r="X40" s="130"/>
      <c r="Y40" s="130"/>
      <c r="Z40" s="132"/>
      <c r="AA40" s="132"/>
      <c r="AB40" s="132"/>
      <c r="AC40" s="149"/>
      <c r="AD40" s="149"/>
      <c r="AE40" s="149"/>
      <c r="AF40" s="149"/>
      <c r="AG40" s="149"/>
      <c r="AH40" s="149"/>
      <c r="AI40" s="146"/>
      <c r="AJ40" s="146"/>
      <c r="AK40" s="146"/>
      <c r="AL40" s="146"/>
      <c r="AM40" s="146"/>
      <c r="AN40" s="146"/>
      <c r="AO40" s="146"/>
      <c r="AP40" s="146"/>
      <c r="AQ40" s="146"/>
      <c r="AR40" s="143"/>
      <c r="AS40" s="143"/>
      <c r="AT40" s="143"/>
      <c r="AU40" s="143"/>
      <c r="AV40" s="143"/>
      <c r="AW40" s="143"/>
      <c r="AX40" s="143"/>
      <c r="AY40" s="143"/>
      <c r="AZ40" s="135"/>
    </row>
    <row r="41" spans="1:55" x14ac:dyDescent="0.3">
      <c r="A41" s="154"/>
      <c r="B41" s="156" t="s">
        <v>75</v>
      </c>
      <c r="C41" s="120" t="s">
        <v>34</v>
      </c>
      <c r="D41" s="121" t="s">
        <v>126</v>
      </c>
      <c r="E41" s="139" t="s">
        <v>173</v>
      </c>
      <c r="F41" s="123" t="s">
        <v>35</v>
      </c>
      <c r="G41" s="157">
        <v>71849</v>
      </c>
      <c r="H41" s="125">
        <v>0.13</v>
      </c>
      <c r="I41" s="124">
        <f t="shared" si="9"/>
        <v>9340.3700000000008</v>
      </c>
      <c r="J41" s="124" t="s">
        <v>60</v>
      </c>
      <c r="K41" s="126">
        <v>0.5</v>
      </c>
      <c r="L41" s="124">
        <f t="shared" si="10"/>
        <v>4670.1850000000004</v>
      </c>
      <c r="M41" s="124">
        <f t="shared" si="11"/>
        <v>4670.1850000000004</v>
      </c>
      <c r="N41" s="127"/>
      <c r="O41" s="119"/>
      <c r="P41" s="155" t="s">
        <v>174</v>
      </c>
      <c r="Q41" s="130"/>
      <c r="R41" s="145"/>
      <c r="S41" s="130"/>
      <c r="T41" s="130"/>
      <c r="U41" s="130"/>
      <c r="V41" s="130"/>
      <c r="W41" s="130"/>
      <c r="X41" s="130"/>
      <c r="Y41" s="130"/>
      <c r="Z41" s="132"/>
      <c r="AA41" s="132"/>
      <c r="AB41" s="132"/>
      <c r="AC41" s="132">
        <v>71849</v>
      </c>
      <c r="AD41" s="132">
        <v>9340.3700000000008</v>
      </c>
      <c r="AE41" s="132">
        <v>4670.1850000000004</v>
      </c>
      <c r="AF41" s="149"/>
      <c r="AG41" s="149"/>
      <c r="AH41" s="149"/>
      <c r="AI41" s="146"/>
      <c r="AJ41" s="146"/>
      <c r="AK41" s="146"/>
      <c r="AL41" s="146"/>
      <c r="AM41" s="146"/>
      <c r="AN41" s="146"/>
      <c r="AO41" s="146"/>
      <c r="AP41" s="146"/>
      <c r="AQ41" s="146"/>
      <c r="AR41" s="143"/>
      <c r="AS41" s="143"/>
      <c r="AT41" s="143"/>
      <c r="AU41" s="143"/>
      <c r="AV41" s="143"/>
      <c r="AW41" s="143"/>
      <c r="AX41" s="143"/>
      <c r="AY41" s="143"/>
      <c r="AZ41" s="135"/>
    </row>
    <row r="42" spans="1:55" x14ac:dyDescent="0.3">
      <c r="A42" s="154"/>
      <c r="B42" s="156" t="s">
        <v>75</v>
      </c>
      <c r="C42" s="120" t="s">
        <v>147</v>
      </c>
      <c r="D42" s="187" t="s">
        <v>143</v>
      </c>
      <c r="E42" s="122" t="s">
        <v>188</v>
      </c>
      <c r="F42" s="123" t="s">
        <v>146</v>
      </c>
      <c r="G42" s="124">
        <v>59936</v>
      </c>
      <c r="H42" s="125">
        <v>0.11</v>
      </c>
      <c r="I42" s="124">
        <v>5702</v>
      </c>
      <c r="J42" s="124"/>
      <c r="K42" s="126">
        <v>0.5</v>
      </c>
      <c r="L42" s="124">
        <f t="shared" si="10"/>
        <v>2851</v>
      </c>
      <c r="M42" s="124">
        <f t="shared" si="11"/>
        <v>2851</v>
      </c>
      <c r="N42" s="127"/>
      <c r="O42" s="119"/>
      <c r="P42" s="155"/>
      <c r="Q42" s="130"/>
      <c r="R42" s="145"/>
      <c r="S42" s="130"/>
      <c r="T42" s="130">
        <v>59936</v>
      </c>
      <c r="U42" s="130">
        <f>V42*2</f>
        <v>5702</v>
      </c>
      <c r="V42" s="130">
        <v>2851</v>
      </c>
      <c r="W42" s="130"/>
      <c r="X42" s="130"/>
      <c r="Y42" s="130"/>
      <c r="Z42" s="132"/>
      <c r="AA42" s="132"/>
      <c r="AB42" s="132"/>
      <c r="AC42" s="149"/>
      <c r="AD42" s="149"/>
      <c r="AE42" s="149"/>
      <c r="AF42" s="149"/>
      <c r="AG42" s="149"/>
      <c r="AH42" s="149"/>
      <c r="AI42" s="146"/>
      <c r="AJ42" s="146"/>
      <c r="AK42" s="146"/>
      <c r="AL42" s="146"/>
      <c r="AM42" s="146"/>
      <c r="AN42" s="146"/>
      <c r="AO42" s="146"/>
      <c r="AP42" s="146"/>
      <c r="AQ42" s="146"/>
      <c r="AR42" s="143"/>
      <c r="AS42" s="143"/>
      <c r="AT42" s="143"/>
      <c r="AU42" s="143"/>
      <c r="AV42" s="143"/>
      <c r="AW42" s="143"/>
      <c r="AX42" s="143"/>
      <c r="AY42" s="143"/>
      <c r="AZ42" s="135"/>
    </row>
    <row r="43" spans="1:55" x14ac:dyDescent="0.3">
      <c r="A43" s="154"/>
      <c r="B43" s="156" t="s">
        <v>75</v>
      </c>
      <c r="C43" s="120" t="s">
        <v>147</v>
      </c>
      <c r="D43" s="193" t="s">
        <v>126</v>
      </c>
      <c r="E43" s="122" t="s">
        <v>162</v>
      </c>
      <c r="F43" s="123" t="s">
        <v>146</v>
      </c>
      <c r="G43" s="124">
        <v>15735.98</v>
      </c>
      <c r="H43" s="125">
        <v>0.05</v>
      </c>
      <c r="I43" s="124">
        <f t="shared" si="9"/>
        <v>786.79899999999998</v>
      </c>
      <c r="J43" s="124"/>
      <c r="K43" s="126">
        <v>0.5</v>
      </c>
      <c r="L43" s="124">
        <f t="shared" si="10"/>
        <v>393.39949999999999</v>
      </c>
      <c r="M43" s="124">
        <f t="shared" si="11"/>
        <v>393.39949999999999</v>
      </c>
      <c r="N43" s="127"/>
      <c r="O43" s="119"/>
      <c r="P43" s="155" t="s">
        <v>192</v>
      </c>
      <c r="Q43" s="130"/>
      <c r="R43" s="145"/>
      <c r="S43" s="130"/>
      <c r="T43" s="130">
        <v>15735.98</v>
      </c>
      <c r="U43" s="130">
        <v>393.39949999999999</v>
      </c>
      <c r="V43" s="130">
        <v>393.39949999999999</v>
      </c>
      <c r="W43" s="130"/>
      <c r="X43" s="130"/>
      <c r="Y43" s="130"/>
      <c r="Z43" s="132"/>
      <c r="AA43" s="132"/>
      <c r="AB43" s="132"/>
      <c r="AC43" s="149"/>
      <c r="AD43" s="149"/>
      <c r="AE43" s="149"/>
      <c r="AF43" s="149"/>
      <c r="AG43" s="149"/>
      <c r="AH43" s="149"/>
      <c r="AI43" s="146"/>
      <c r="AJ43" s="146"/>
      <c r="AK43" s="146"/>
      <c r="AL43" s="146"/>
      <c r="AM43" s="146"/>
      <c r="AN43" s="146"/>
      <c r="AO43" s="146"/>
      <c r="AP43" s="146"/>
      <c r="AQ43" s="146"/>
      <c r="AR43" s="143"/>
      <c r="AS43" s="143"/>
      <c r="AT43" s="143"/>
      <c r="AU43" s="143"/>
      <c r="AV43" s="143"/>
      <c r="AW43" s="143"/>
      <c r="AX43" s="143"/>
      <c r="AY43" s="143"/>
      <c r="AZ43" s="135"/>
    </row>
    <row r="44" spans="1:55" x14ac:dyDescent="0.3">
      <c r="A44" s="154"/>
      <c r="B44" s="156" t="s">
        <v>75</v>
      </c>
      <c r="C44" s="120" t="s">
        <v>112</v>
      </c>
      <c r="D44" s="193" t="s">
        <v>134</v>
      </c>
      <c r="E44" s="122" t="s">
        <v>193</v>
      </c>
      <c r="F44" s="123" t="s">
        <v>112</v>
      </c>
      <c r="G44" s="124">
        <v>1514</v>
      </c>
      <c r="H44" s="125">
        <v>0.18820000000000001</v>
      </c>
      <c r="I44" s="124">
        <f t="shared" si="9"/>
        <v>284.9348</v>
      </c>
      <c r="J44" s="124"/>
      <c r="K44" s="124"/>
      <c r="L44" s="124"/>
      <c r="M44" s="124"/>
      <c r="N44" s="127"/>
      <c r="O44" s="119"/>
      <c r="P44" s="155"/>
      <c r="Q44" s="130"/>
      <c r="R44" s="145"/>
      <c r="S44" s="130"/>
      <c r="T44" s="130"/>
      <c r="U44" s="130"/>
      <c r="V44" s="130"/>
      <c r="W44" s="130"/>
      <c r="X44" s="130"/>
      <c r="Y44" s="130"/>
      <c r="Z44" s="132"/>
      <c r="AA44" s="132"/>
      <c r="AB44" s="132"/>
      <c r="AC44" s="149"/>
      <c r="AD44" s="149"/>
      <c r="AE44" s="149"/>
      <c r="AF44" s="149"/>
      <c r="AG44" s="149"/>
      <c r="AH44" s="149"/>
      <c r="AI44" s="146"/>
      <c r="AJ44" s="146"/>
      <c r="AK44" s="146"/>
      <c r="AL44" s="146"/>
      <c r="AM44" s="146"/>
      <c r="AN44" s="146"/>
      <c r="AO44" s="146"/>
      <c r="AP44" s="146"/>
      <c r="AQ44" s="146"/>
      <c r="AR44" s="143"/>
      <c r="AS44" s="143"/>
      <c r="AT44" s="143"/>
      <c r="AU44" s="143"/>
      <c r="AV44" s="143"/>
      <c r="AW44" s="143"/>
      <c r="AX44" s="143"/>
      <c r="AY44" s="143"/>
      <c r="AZ44" s="135"/>
    </row>
    <row r="45" spans="1:55" x14ac:dyDescent="0.3">
      <c r="A45" s="154"/>
      <c r="B45" s="119"/>
      <c r="C45" s="120"/>
      <c r="D45" s="193" t="s">
        <v>84</v>
      </c>
      <c r="E45" s="122" t="s">
        <v>196</v>
      </c>
      <c r="F45" s="123"/>
      <c r="G45" s="124">
        <v>6900</v>
      </c>
      <c r="H45" s="125">
        <v>1</v>
      </c>
      <c r="I45" s="124"/>
      <c r="J45" s="124"/>
      <c r="K45" s="124"/>
      <c r="L45" s="124"/>
      <c r="M45" s="124"/>
      <c r="N45" s="127"/>
      <c r="O45" s="119"/>
      <c r="P45" s="155" t="s">
        <v>197</v>
      </c>
      <c r="Q45" s="130"/>
      <c r="R45" s="145"/>
      <c r="S45" s="130"/>
      <c r="T45" s="130"/>
      <c r="U45" s="130"/>
      <c r="V45" s="130"/>
      <c r="W45" s="130">
        <v>1495</v>
      </c>
      <c r="X45" s="130">
        <f>Y45*2</f>
        <v>1820</v>
      </c>
      <c r="Y45" s="130">
        <v>910</v>
      </c>
      <c r="Z45" s="132"/>
      <c r="AA45" s="132"/>
      <c r="AB45" s="132"/>
      <c r="AC45" s="149"/>
      <c r="AD45" s="149"/>
      <c r="AE45" s="149"/>
      <c r="AF45" s="149"/>
      <c r="AG45" s="149"/>
      <c r="AH45" s="149"/>
      <c r="AI45" s="146"/>
      <c r="AJ45" s="146"/>
      <c r="AK45" s="146"/>
      <c r="AL45" s="146"/>
      <c r="AM45" s="146"/>
      <c r="AN45" s="146"/>
      <c r="AO45" s="146"/>
      <c r="AP45" s="146"/>
      <c r="AQ45" s="146"/>
      <c r="AR45" s="143"/>
      <c r="AS45" s="143"/>
      <c r="AT45" s="143"/>
      <c r="AU45" s="143"/>
      <c r="AV45" s="143"/>
      <c r="AW45" s="143"/>
      <c r="AX45" s="143"/>
      <c r="AY45" s="143"/>
      <c r="AZ45" s="135"/>
      <c r="BB45" s="136" t="s">
        <v>235</v>
      </c>
    </row>
    <row r="46" spans="1:55" x14ac:dyDescent="0.3">
      <c r="A46" s="118"/>
      <c r="B46" s="119" t="s">
        <v>75</v>
      </c>
      <c r="C46" s="120" t="s">
        <v>34</v>
      </c>
      <c r="D46" s="109" t="s">
        <v>96</v>
      </c>
      <c r="E46" s="139" t="s">
        <v>99</v>
      </c>
      <c r="F46" s="123" t="s">
        <v>35</v>
      </c>
      <c r="G46" s="99">
        <v>79800</v>
      </c>
      <c r="H46" s="125">
        <v>1</v>
      </c>
      <c r="I46" s="124">
        <f t="shared" ref="I46" si="12">H46*G46</f>
        <v>79800</v>
      </c>
      <c r="J46" s="124" t="s">
        <v>60</v>
      </c>
      <c r="K46" s="126">
        <v>0.7</v>
      </c>
      <c r="L46" s="124">
        <v>20800</v>
      </c>
      <c r="M46" s="99">
        <v>58800</v>
      </c>
      <c r="N46" s="127"/>
      <c r="O46" s="119"/>
      <c r="P46" s="155" t="s">
        <v>210</v>
      </c>
      <c r="Q46" s="130"/>
      <c r="R46" s="145"/>
      <c r="S46" s="130"/>
      <c r="T46" s="130"/>
      <c r="U46" s="130"/>
      <c r="V46" s="130"/>
      <c r="W46" s="130"/>
      <c r="X46" s="130"/>
      <c r="Y46" s="130"/>
      <c r="Z46" s="132">
        <f>G46/12</f>
        <v>6650</v>
      </c>
      <c r="AA46" s="132">
        <v>6650</v>
      </c>
      <c r="AB46" s="132">
        <f>M46/12</f>
        <v>4900</v>
      </c>
      <c r="AC46" s="149">
        <v>6650</v>
      </c>
      <c r="AD46" s="149">
        <v>6650</v>
      </c>
      <c r="AE46" s="149">
        <v>4900</v>
      </c>
      <c r="AF46" s="149">
        <v>6650</v>
      </c>
      <c r="AG46" s="149">
        <v>6650</v>
      </c>
      <c r="AH46" s="149">
        <v>4900</v>
      </c>
      <c r="AI46" s="146">
        <v>6650</v>
      </c>
      <c r="AJ46" s="146">
        <v>6650</v>
      </c>
      <c r="AK46" s="146">
        <v>4900</v>
      </c>
      <c r="AL46" s="146">
        <v>6650</v>
      </c>
      <c r="AM46" s="146">
        <v>6650</v>
      </c>
      <c r="AN46" s="146">
        <v>4900</v>
      </c>
      <c r="AO46" s="146">
        <v>6650</v>
      </c>
      <c r="AP46" s="146">
        <v>6650</v>
      </c>
      <c r="AQ46" s="146">
        <v>4900</v>
      </c>
      <c r="AR46" s="143">
        <v>6650</v>
      </c>
      <c r="AS46" s="143">
        <v>6650</v>
      </c>
      <c r="AT46" s="143">
        <v>4900</v>
      </c>
      <c r="AU46" s="143">
        <v>6650</v>
      </c>
      <c r="AV46" s="143">
        <v>6650</v>
      </c>
      <c r="AW46" s="143">
        <v>4900</v>
      </c>
      <c r="AX46" s="143">
        <v>6650</v>
      </c>
      <c r="AY46" s="143">
        <v>6650</v>
      </c>
      <c r="AZ46" s="135">
        <v>4900</v>
      </c>
      <c r="BB46" s="136" t="s">
        <v>233</v>
      </c>
      <c r="BC46" s="228" t="s">
        <v>236</v>
      </c>
    </row>
    <row r="47" spans="1:55" x14ac:dyDescent="0.3">
      <c r="A47" s="154"/>
      <c r="B47" s="119" t="s">
        <v>75</v>
      </c>
      <c r="C47" s="120" t="s">
        <v>34</v>
      </c>
      <c r="D47" s="137" t="s">
        <v>211</v>
      </c>
      <c r="E47" s="122" t="s">
        <v>212</v>
      </c>
      <c r="F47" s="123" t="s">
        <v>82</v>
      </c>
      <c r="G47" s="99">
        <v>284856</v>
      </c>
      <c r="H47" s="125">
        <v>1</v>
      </c>
      <c r="I47" s="124">
        <f t="shared" ref="I47" si="13">H47*G47</f>
        <v>284856</v>
      </c>
      <c r="J47" s="124" t="s">
        <v>60</v>
      </c>
      <c r="K47" s="126">
        <v>0.5</v>
      </c>
      <c r="L47" s="124">
        <v>142428</v>
      </c>
      <c r="M47" s="99">
        <v>142428</v>
      </c>
      <c r="N47" s="127"/>
      <c r="O47" s="119"/>
      <c r="P47" s="155" t="s">
        <v>213</v>
      </c>
      <c r="Q47" s="130"/>
      <c r="R47" s="145"/>
      <c r="S47" s="130"/>
      <c r="T47" s="130"/>
      <c r="U47" s="130"/>
      <c r="V47" s="130"/>
      <c r="W47" s="130"/>
      <c r="X47" s="130"/>
      <c r="Y47" s="130"/>
      <c r="Z47" s="132"/>
      <c r="AA47" s="132"/>
      <c r="AB47" s="132"/>
      <c r="AC47" s="149">
        <v>56971.199999999997</v>
      </c>
      <c r="AD47" s="149">
        <v>56971.199999999997</v>
      </c>
      <c r="AE47" s="149">
        <v>16612</v>
      </c>
      <c r="AF47" s="149"/>
      <c r="AG47" s="149"/>
      <c r="AH47" s="149"/>
      <c r="AI47" s="146"/>
      <c r="AJ47" s="146"/>
      <c r="AK47" s="146"/>
      <c r="AL47" s="146"/>
      <c r="AM47" s="146"/>
      <c r="AN47" s="146"/>
      <c r="AO47" s="146"/>
      <c r="AP47" s="146"/>
      <c r="AQ47" s="146"/>
      <c r="AR47" s="143"/>
      <c r="AS47" s="143"/>
      <c r="AT47" s="143"/>
      <c r="AU47" s="143"/>
      <c r="AV47" s="143"/>
      <c r="AW47" s="143"/>
      <c r="AX47" s="143"/>
      <c r="AY47" s="143"/>
      <c r="AZ47" s="135"/>
      <c r="BB47" s="136" t="s">
        <v>234</v>
      </c>
      <c r="BC47" s="228" t="s">
        <v>237</v>
      </c>
    </row>
    <row r="48" spans="1:55" x14ac:dyDescent="0.3">
      <c r="A48" s="154"/>
      <c r="B48" s="119"/>
      <c r="C48" s="120"/>
      <c r="D48" s="193" t="s">
        <v>84</v>
      </c>
      <c r="E48" s="122" t="s">
        <v>209</v>
      </c>
      <c r="F48" s="123"/>
      <c r="G48" s="124"/>
      <c r="H48" s="125"/>
      <c r="I48" s="124"/>
      <c r="J48" s="124"/>
      <c r="K48" s="124"/>
      <c r="L48" s="124"/>
      <c r="M48" s="124"/>
      <c r="N48" s="127"/>
      <c r="O48" s="119"/>
      <c r="P48" s="155"/>
      <c r="Q48" s="130"/>
      <c r="R48" s="145"/>
      <c r="S48" s="130"/>
      <c r="T48" s="130"/>
      <c r="U48" s="130"/>
      <c r="V48" s="130"/>
      <c r="W48" s="130">
        <v>4551</v>
      </c>
      <c r="X48" s="130">
        <f>Y48*2</f>
        <v>900.2</v>
      </c>
      <c r="Y48" s="130">
        <v>450.1</v>
      </c>
      <c r="Z48" s="132"/>
      <c r="AA48" s="132"/>
      <c r="AB48" s="132"/>
      <c r="AC48" s="149"/>
      <c r="AD48" s="149"/>
      <c r="AE48" s="149"/>
      <c r="AF48" s="149"/>
      <c r="AG48" s="149"/>
      <c r="AH48" s="149"/>
      <c r="AI48" s="146"/>
      <c r="AJ48" s="146"/>
      <c r="AK48" s="146"/>
      <c r="AL48" s="146"/>
      <c r="AM48" s="146"/>
      <c r="AN48" s="146"/>
      <c r="AO48" s="146"/>
      <c r="AP48" s="146"/>
      <c r="AQ48" s="146"/>
      <c r="AR48" s="143"/>
      <c r="AS48" s="143"/>
      <c r="AT48" s="143"/>
      <c r="AU48" s="143"/>
      <c r="AV48" s="143"/>
      <c r="AW48" s="143"/>
      <c r="AX48" s="143"/>
      <c r="AY48" s="143"/>
      <c r="AZ48" s="135"/>
    </row>
    <row r="49" spans="1:55" x14ac:dyDescent="0.3">
      <c r="A49" s="154"/>
      <c r="B49" s="119" t="s">
        <v>75</v>
      </c>
      <c r="C49" s="120" t="s">
        <v>34</v>
      </c>
      <c r="D49" s="187" t="s">
        <v>214</v>
      </c>
      <c r="E49" s="122" t="s">
        <v>216</v>
      </c>
      <c r="F49" s="123" t="s">
        <v>82</v>
      </c>
      <c r="G49" s="124">
        <v>282360</v>
      </c>
      <c r="H49" s="125">
        <v>1</v>
      </c>
      <c r="I49" s="124">
        <f t="shared" ref="I49" si="14">H49*G49</f>
        <v>282360</v>
      </c>
      <c r="J49" s="124" t="s">
        <v>60</v>
      </c>
      <c r="K49" s="126">
        <v>0.2</v>
      </c>
      <c r="L49" s="124">
        <v>161280</v>
      </c>
      <c r="M49" s="124">
        <v>121080</v>
      </c>
      <c r="N49" s="127"/>
      <c r="O49" s="119"/>
      <c r="P49" s="155" t="s">
        <v>215</v>
      </c>
      <c r="Q49" s="130"/>
      <c r="R49" s="145"/>
      <c r="S49" s="130"/>
      <c r="T49" s="130"/>
      <c r="U49" s="130"/>
      <c r="V49" s="130"/>
      <c r="W49" s="130"/>
      <c r="X49" s="130"/>
      <c r="Y49" s="130"/>
      <c r="Z49" s="132"/>
      <c r="AA49" s="132"/>
      <c r="AB49" s="132"/>
      <c r="AC49" s="132">
        <f>23530*2</f>
        <v>47060</v>
      </c>
      <c r="AD49" s="132">
        <f>23530*2</f>
        <v>47060</v>
      </c>
      <c r="AE49" s="132">
        <f>10090*2</f>
        <v>20180</v>
      </c>
      <c r="AF49" s="132">
        <v>23530</v>
      </c>
      <c r="AG49" s="132">
        <v>23530</v>
      </c>
      <c r="AH49" s="132">
        <v>10090</v>
      </c>
      <c r="AI49" s="146">
        <v>23530</v>
      </c>
      <c r="AJ49" s="146">
        <v>23530</v>
      </c>
      <c r="AK49" s="146">
        <v>10090</v>
      </c>
      <c r="AL49" s="146">
        <v>23530</v>
      </c>
      <c r="AM49" s="146">
        <v>23530</v>
      </c>
      <c r="AN49" s="146">
        <v>10090</v>
      </c>
      <c r="AO49" s="146">
        <v>23530</v>
      </c>
      <c r="AP49" s="146">
        <v>23530</v>
      </c>
      <c r="AQ49" s="146">
        <v>10090</v>
      </c>
      <c r="AR49" s="143"/>
      <c r="AS49" s="143"/>
      <c r="AT49" s="143"/>
      <c r="AU49" s="143"/>
      <c r="AV49" s="143"/>
      <c r="AW49" s="143"/>
      <c r="AX49" s="143"/>
      <c r="AY49" s="143"/>
      <c r="AZ49" s="135"/>
      <c r="BB49" s="136" t="s">
        <v>238</v>
      </c>
    </row>
    <row r="50" spans="1:55" x14ac:dyDescent="0.3">
      <c r="A50" s="229"/>
      <c r="B50" s="119" t="s">
        <v>75</v>
      </c>
      <c r="C50" s="231" t="s">
        <v>112</v>
      </c>
      <c r="D50" s="232" t="s">
        <v>111</v>
      </c>
      <c r="E50" s="233" t="s">
        <v>243</v>
      </c>
      <c r="F50" s="234" t="s">
        <v>112</v>
      </c>
      <c r="G50" s="235">
        <v>30316</v>
      </c>
      <c r="H50" s="125">
        <v>0.1</v>
      </c>
      <c r="I50" s="124">
        <f t="shared" ref="I50" si="15">H50*G50</f>
        <v>3031.6000000000004</v>
      </c>
      <c r="J50" s="235"/>
      <c r="K50" s="236">
        <v>0.5</v>
      </c>
      <c r="L50" s="235">
        <f>1701*2</f>
        <v>3402</v>
      </c>
      <c r="M50" s="235">
        <v>1701</v>
      </c>
      <c r="N50" s="237"/>
      <c r="O50" s="230"/>
      <c r="P50" s="238" t="s">
        <v>244</v>
      </c>
      <c r="Q50" s="239"/>
      <c r="R50" s="240"/>
      <c r="S50" s="239"/>
      <c r="T50" s="239"/>
      <c r="U50" s="239"/>
      <c r="V50" s="239"/>
      <c r="W50" s="239"/>
      <c r="X50" s="239"/>
      <c r="Y50" s="239"/>
      <c r="Z50" s="241">
        <v>30316</v>
      </c>
      <c r="AA50" s="241">
        <f>AB50*2</f>
        <v>3402</v>
      </c>
      <c r="AB50" s="241">
        <v>1701</v>
      </c>
      <c r="AC50" s="241"/>
      <c r="AD50" s="241"/>
      <c r="AE50" s="241"/>
      <c r="AF50" s="241"/>
      <c r="AG50" s="241"/>
      <c r="AH50" s="241"/>
      <c r="AI50" s="242"/>
      <c r="AJ50" s="242"/>
      <c r="AK50" s="242"/>
      <c r="AL50" s="242"/>
      <c r="AM50" s="242"/>
      <c r="AN50" s="242"/>
      <c r="AO50" s="242"/>
      <c r="AP50" s="242"/>
      <c r="AQ50" s="242"/>
      <c r="AR50" s="243"/>
      <c r="AS50" s="243"/>
      <c r="AT50" s="243"/>
      <c r="AU50" s="243"/>
      <c r="AV50" s="243"/>
      <c r="AW50" s="243"/>
      <c r="AX50" s="243"/>
      <c r="AY50" s="243"/>
      <c r="AZ50" s="244"/>
    </row>
    <row r="51" spans="1:55" ht="15" thickBot="1" x14ac:dyDescent="0.35">
      <c r="A51" s="160"/>
      <c r="B51" s="194"/>
      <c r="C51" s="161"/>
      <c r="D51" s="195" t="s">
        <v>208</v>
      </c>
      <c r="E51" s="196"/>
      <c r="F51" s="162"/>
      <c r="G51" s="164"/>
      <c r="H51" s="163"/>
      <c r="I51" s="164"/>
      <c r="J51" s="164"/>
      <c r="K51" s="164"/>
      <c r="L51" s="164"/>
      <c r="M51" s="164"/>
      <c r="N51" s="165"/>
      <c r="O51" s="194"/>
      <c r="P51" s="166"/>
      <c r="Q51" s="167"/>
      <c r="R51" s="197"/>
      <c r="S51" s="167">
        <v>-5055</v>
      </c>
      <c r="T51" s="167"/>
      <c r="U51" s="167"/>
      <c r="V51" s="167">
        <v>2702</v>
      </c>
      <c r="W51" s="167"/>
      <c r="X51" s="167"/>
      <c r="Y51" s="167">
        <v>-590.9</v>
      </c>
      <c r="Z51" s="168"/>
      <c r="AA51" s="168"/>
      <c r="AB51" s="168"/>
      <c r="AC51" s="169"/>
      <c r="AD51" s="169"/>
      <c r="AE51" s="169"/>
      <c r="AF51" s="169"/>
      <c r="AG51" s="169"/>
      <c r="AH51" s="169"/>
      <c r="AI51" s="170"/>
      <c r="AJ51" s="170"/>
      <c r="AK51" s="170"/>
      <c r="AL51" s="170"/>
      <c r="AM51" s="170"/>
      <c r="AN51" s="170"/>
      <c r="AO51" s="170"/>
      <c r="AP51" s="170"/>
      <c r="AQ51" s="170"/>
      <c r="AR51" s="171"/>
      <c r="AS51" s="171"/>
      <c r="AT51" s="171"/>
      <c r="AU51" s="171"/>
      <c r="AV51" s="171"/>
      <c r="AW51" s="171"/>
      <c r="AX51" s="171"/>
      <c r="AY51" s="171"/>
      <c r="AZ51" s="172"/>
      <c r="BB51" s="136" t="s">
        <v>239</v>
      </c>
      <c r="BC51" s="136" t="s">
        <v>241</v>
      </c>
    </row>
    <row r="52" spans="1:55" x14ac:dyDescent="0.3">
      <c r="C52" s="174"/>
      <c r="F52" s="176"/>
      <c r="P52" s="180"/>
      <c r="BB52" s="136" t="s">
        <v>240</v>
      </c>
      <c r="BC52" s="136" t="s">
        <v>242</v>
      </c>
    </row>
    <row r="53" spans="1:55" x14ac:dyDescent="0.3">
      <c r="C53" s="174"/>
      <c r="F53" s="176"/>
      <c r="P53" s="180"/>
    </row>
    <row r="54" spans="1:55" x14ac:dyDescent="0.3">
      <c r="C54" s="174"/>
      <c r="F54" s="176"/>
      <c r="P54" s="180"/>
    </row>
    <row r="55" spans="1:55" x14ac:dyDescent="0.3">
      <c r="C55" s="174"/>
      <c r="F55" s="176"/>
      <c r="P55" s="180"/>
    </row>
    <row r="56" spans="1:55" x14ac:dyDescent="0.3">
      <c r="C56" s="174"/>
      <c r="F56" s="176"/>
      <c r="P56" s="180"/>
    </row>
    <row r="57" spans="1:55" x14ac:dyDescent="0.3">
      <c r="C57" s="174"/>
      <c r="F57" s="176"/>
      <c r="P57" s="180"/>
    </row>
    <row r="58" spans="1:55" x14ac:dyDescent="0.3">
      <c r="C58" s="174"/>
      <c r="F58" s="176"/>
      <c r="P58" s="180"/>
    </row>
    <row r="59" spans="1:55" x14ac:dyDescent="0.3">
      <c r="C59" s="174"/>
      <c r="F59" s="176"/>
      <c r="P59" s="180"/>
    </row>
    <row r="60" spans="1:55" x14ac:dyDescent="0.3">
      <c r="C60" s="174"/>
      <c r="F60" s="176"/>
      <c r="P60" s="180"/>
    </row>
    <row r="61" spans="1:55" x14ac:dyDescent="0.3">
      <c r="C61" s="174"/>
      <c r="F61" s="176"/>
      <c r="P61" s="180"/>
    </row>
    <row r="62" spans="1:55" x14ac:dyDescent="0.3">
      <c r="C62" s="174"/>
      <c r="F62" s="176"/>
      <c r="P62" s="180"/>
    </row>
    <row r="63" spans="1:55" x14ac:dyDescent="0.3">
      <c r="C63" s="174"/>
      <c r="F63" s="176"/>
      <c r="P63" s="180"/>
    </row>
    <row r="64" spans="1:55" x14ac:dyDescent="0.3">
      <c r="C64" s="174"/>
      <c r="F64" s="176"/>
      <c r="P64" s="180"/>
    </row>
    <row r="65" spans="3:16" x14ac:dyDescent="0.3">
      <c r="C65" s="174"/>
      <c r="F65" s="176"/>
      <c r="P65" s="180"/>
    </row>
    <row r="66" spans="3:16" x14ac:dyDescent="0.3">
      <c r="C66" s="174"/>
      <c r="F66" s="176"/>
      <c r="P66" s="180"/>
    </row>
    <row r="67" spans="3:16" x14ac:dyDescent="0.3">
      <c r="C67" s="174"/>
      <c r="F67" s="176"/>
      <c r="P67" s="180"/>
    </row>
    <row r="68" spans="3:16" x14ac:dyDescent="0.3">
      <c r="C68" s="174"/>
      <c r="F68" s="176"/>
      <c r="P68" s="180"/>
    </row>
    <row r="69" spans="3:16" x14ac:dyDescent="0.3">
      <c r="C69" s="174"/>
      <c r="F69" s="176"/>
      <c r="P69" s="180"/>
    </row>
    <row r="70" spans="3:16" x14ac:dyDescent="0.3">
      <c r="C70" s="174"/>
      <c r="F70" s="176"/>
      <c r="P70" s="180"/>
    </row>
    <row r="71" spans="3:16" x14ac:dyDescent="0.3">
      <c r="C71" s="174"/>
      <c r="F71" s="176"/>
      <c r="P71" s="180"/>
    </row>
    <row r="72" spans="3:16" x14ac:dyDescent="0.3">
      <c r="C72" s="174"/>
      <c r="F72" s="176"/>
      <c r="P72" s="180"/>
    </row>
    <row r="73" spans="3:16" x14ac:dyDescent="0.3">
      <c r="C73" s="174"/>
      <c r="F73" s="176"/>
      <c r="P73" s="180"/>
    </row>
    <row r="74" spans="3:16" x14ac:dyDescent="0.3">
      <c r="C74" s="174"/>
      <c r="F74" s="176"/>
      <c r="P74" s="180"/>
    </row>
    <row r="75" spans="3:16" x14ac:dyDescent="0.3">
      <c r="C75" s="174"/>
      <c r="F75" s="176"/>
      <c r="P75" s="180"/>
    </row>
    <row r="76" spans="3:16" x14ac:dyDescent="0.3">
      <c r="C76" s="174"/>
      <c r="F76" s="176"/>
      <c r="P76" s="180"/>
    </row>
    <row r="77" spans="3:16" x14ac:dyDescent="0.3">
      <c r="C77" s="174"/>
      <c r="F77" s="176"/>
      <c r="P77" s="180"/>
    </row>
    <row r="78" spans="3:16" x14ac:dyDescent="0.3">
      <c r="C78" s="174"/>
      <c r="F78" s="176"/>
      <c r="P78" s="180"/>
    </row>
    <row r="79" spans="3:16" x14ac:dyDescent="0.3">
      <c r="C79" s="174"/>
      <c r="F79" s="176"/>
      <c r="P79" s="180"/>
    </row>
    <row r="80" spans="3:16" x14ac:dyDescent="0.3">
      <c r="C80" s="174"/>
      <c r="F80" s="176"/>
      <c r="P80" s="180"/>
    </row>
    <row r="81" spans="3:16" x14ac:dyDescent="0.3">
      <c r="C81" s="174"/>
      <c r="F81" s="176"/>
      <c r="P81" s="180"/>
    </row>
    <row r="82" spans="3:16" x14ac:dyDescent="0.3">
      <c r="C82" s="174"/>
      <c r="F82" s="176"/>
      <c r="P82" s="180"/>
    </row>
    <row r="83" spans="3:16" x14ac:dyDescent="0.3">
      <c r="C83" s="174"/>
      <c r="F83" s="176"/>
      <c r="P83" s="180"/>
    </row>
    <row r="84" spans="3:16" x14ac:dyDescent="0.3">
      <c r="C84" s="174"/>
      <c r="F84" s="176"/>
      <c r="P84" s="180"/>
    </row>
    <row r="85" spans="3:16" x14ac:dyDescent="0.3">
      <c r="C85" s="174"/>
      <c r="F85" s="176"/>
      <c r="P85" s="180"/>
    </row>
    <row r="86" spans="3:16" x14ac:dyDescent="0.3">
      <c r="C86" s="174"/>
      <c r="F86" s="176"/>
      <c r="P86" s="180"/>
    </row>
    <row r="87" spans="3:16" x14ac:dyDescent="0.3">
      <c r="C87" s="174"/>
      <c r="F87" s="176"/>
      <c r="P87" s="180"/>
    </row>
    <row r="88" spans="3:16" x14ac:dyDescent="0.3">
      <c r="C88" s="174"/>
      <c r="F88" s="176"/>
      <c r="P88" s="180"/>
    </row>
    <row r="89" spans="3:16" x14ac:dyDescent="0.3">
      <c r="C89" s="174"/>
      <c r="F89" s="176"/>
      <c r="P89" s="180"/>
    </row>
    <row r="90" spans="3:16" x14ac:dyDescent="0.3">
      <c r="C90" s="174"/>
      <c r="F90" s="176"/>
      <c r="P90" s="180"/>
    </row>
    <row r="91" spans="3:16" x14ac:dyDescent="0.3">
      <c r="C91" s="188"/>
      <c r="F91" s="189"/>
      <c r="P91" s="180"/>
    </row>
    <row r="92" spans="3:16" x14ac:dyDescent="0.3">
      <c r="C92" s="120"/>
      <c r="F92" s="123"/>
      <c r="P92" s="180"/>
    </row>
    <row r="93" spans="3:16" x14ac:dyDescent="0.3">
      <c r="C93" s="120"/>
      <c r="F93" s="123"/>
      <c r="P93" s="180"/>
    </row>
    <row r="94" spans="3:16" x14ac:dyDescent="0.3">
      <c r="C94" s="120"/>
      <c r="F94" s="123"/>
      <c r="P94" s="180"/>
    </row>
    <row r="95" spans="3:16" x14ac:dyDescent="0.3">
      <c r="C95" s="120"/>
      <c r="F95" s="123"/>
      <c r="P95" s="180"/>
    </row>
    <row r="96" spans="3:16" x14ac:dyDescent="0.3">
      <c r="C96" s="120"/>
      <c r="F96" s="123"/>
      <c r="P96" s="180"/>
    </row>
    <row r="97" spans="3:16" x14ac:dyDescent="0.3">
      <c r="C97" s="120"/>
      <c r="F97" s="123"/>
      <c r="P97" s="180"/>
    </row>
    <row r="98" spans="3:16" x14ac:dyDescent="0.3">
      <c r="C98" s="120"/>
      <c r="F98" s="123"/>
      <c r="P98" s="180"/>
    </row>
    <row r="99" spans="3:16" x14ac:dyDescent="0.3">
      <c r="C99" s="120"/>
      <c r="F99" s="123"/>
      <c r="P99" s="180"/>
    </row>
    <row r="100" spans="3:16" x14ac:dyDescent="0.3">
      <c r="C100" s="120"/>
      <c r="F100" s="123"/>
      <c r="P100" s="180"/>
    </row>
    <row r="101" spans="3:16" x14ac:dyDescent="0.3">
      <c r="C101" s="120"/>
      <c r="F101" s="123"/>
      <c r="P101" s="180"/>
    </row>
    <row r="102" spans="3:16" x14ac:dyDescent="0.3">
      <c r="C102" s="120"/>
      <c r="F102" s="123"/>
      <c r="P102" s="180"/>
    </row>
    <row r="103" spans="3:16" x14ac:dyDescent="0.3">
      <c r="C103" s="120"/>
      <c r="F103" s="123"/>
      <c r="P103" s="180"/>
    </row>
    <row r="104" spans="3:16" x14ac:dyDescent="0.3">
      <c r="C104" s="120"/>
      <c r="F104" s="123"/>
      <c r="P104" s="180"/>
    </row>
    <row r="105" spans="3:16" x14ac:dyDescent="0.3">
      <c r="C105" s="120"/>
      <c r="F105" s="123"/>
      <c r="P105" s="180"/>
    </row>
    <row r="106" spans="3:16" x14ac:dyDescent="0.3">
      <c r="C106" s="120"/>
      <c r="F106" s="123"/>
      <c r="P106" s="180"/>
    </row>
    <row r="107" spans="3:16" x14ac:dyDescent="0.3">
      <c r="C107" s="120"/>
      <c r="F107" s="123"/>
      <c r="P107" s="180"/>
    </row>
    <row r="108" spans="3:16" x14ac:dyDescent="0.3">
      <c r="C108" s="120"/>
      <c r="F108" s="123"/>
      <c r="P108" s="180"/>
    </row>
    <row r="109" spans="3:16" x14ac:dyDescent="0.3">
      <c r="C109" s="120"/>
      <c r="F109" s="123"/>
      <c r="P109" s="180"/>
    </row>
    <row r="110" spans="3:16" x14ac:dyDescent="0.3">
      <c r="C110" s="120"/>
      <c r="F110" s="123"/>
      <c r="P110" s="180"/>
    </row>
    <row r="111" spans="3:16" x14ac:dyDescent="0.3">
      <c r="C111" s="120"/>
      <c r="F111" s="123"/>
      <c r="P111" s="180"/>
    </row>
    <row r="112" spans="3:16" x14ac:dyDescent="0.3">
      <c r="C112" s="120"/>
      <c r="F112" s="123"/>
      <c r="P112" s="180"/>
    </row>
    <row r="113" spans="3:16" x14ac:dyDescent="0.3">
      <c r="C113" s="120"/>
      <c r="F113" s="123"/>
      <c r="P113" s="180"/>
    </row>
    <row r="114" spans="3:16" x14ac:dyDescent="0.3">
      <c r="C114" s="120"/>
      <c r="F114" s="123"/>
      <c r="P114" s="180"/>
    </row>
    <row r="115" spans="3:16" x14ac:dyDescent="0.3">
      <c r="C115" s="120"/>
      <c r="F115" s="123"/>
      <c r="P115" s="180"/>
    </row>
    <row r="116" spans="3:16" x14ac:dyDescent="0.3">
      <c r="C116" s="120"/>
      <c r="F116" s="123"/>
      <c r="P116" s="180"/>
    </row>
    <row r="117" spans="3:16" x14ac:dyDescent="0.3">
      <c r="C117" s="120"/>
      <c r="F117" s="123"/>
      <c r="P117" s="180"/>
    </row>
    <row r="118" spans="3:16" x14ac:dyDescent="0.3">
      <c r="C118" s="120"/>
      <c r="F118" s="123"/>
      <c r="P118" s="180"/>
    </row>
    <row r="119" spans="3:16" x14ac:dyDescent="0.3">
      <c r="C119" s="120"/>
      <c r="F119" s="123"/>
      <c r="P119" s="180"/>
    </row>
    <row r="120" spans="3:16" x14ac:dyDescent="0.3">
      <c r="C120" s="120"/>
      <c r="F120" s="123"/>
      <c r="P120" s="180"/>
    </row>
    <row r="121" spans="3:16" x14ac:dyDescent="0.3">
      <c r="C121" s="120"/>
      <c r="F121" s="123"/>
      <c r="P121" s="180"/>
    </row>
    <row r="122" spans="3:16" x14ac:dyDescent="0.3">
      <c r="C122" s="120"/>
      <c r="F122" s="123"/>
      <c r="P122" s="180"/>
    </row>
    <row r="123" spans="3:16" x14ac:dyDescent="0.3">
      <c r="C123" s="120"/>
      <c r="F123" s="123"/>
      <c r="P123" s="180"/>
    </row>
    <row r="124" spans="3:16" x14ac:dyDescent="0.3">
      <c r="C124" s="120"/>
      <c r="F124" s="123"/>
      <c r="P124" s="180"/>
    </row>
    <row r="125" spans="3:16" x14ac:dyDescent="0.3">
      <c r="C125" s="120"/>
      <c r="F125" s="123"/>
      <c r="P125" s="180"/>
    </row>
    <row r="126" spans="3:16" x14ac:dyDescent="0.3">
      <c r="C126" s="120"/>
      <c r="F126" s="123"/>
      <c r="P126" s="180"/>
    </row>
    <row r="127" spans="3:16" x14ac:dyDescent="0.3">
      <c r="C127" s="120"/>
      <c r="F127" s="123"/>
      <c r="P127" s="180"/>
    </row>
    <row r="128" spans="3:16" x14ac:dyDescent="0.3">
      <c r="C128" s="120"/>
      <c r="F128" s="123"/>
      <c r="P128" s="180"/>
    </row>
    <row r="129" spans="3:16" x14ac:dyDescent="0.3">
      <c r="C129" s="120"/>
      <c r="F129" s="123"/>
      <c r="P129" s="180"/>
    </row>
    <row r="130" spans="3:16" x14ac:dyDescent="0.3">
      <c r="C130" s="120"/>
      <c r="F130" s="123"/>
      <c r="P130" s="180"/>
    </row>
    <row r="131" spans="3:16" x14ac:dyDescent="0.3">
      <c r="C131" s="120"/>
      <c r="F131" s="123"/>
      <c r="P131" s="180"/>
    </row>
    <row r="132" spans="3:16" x14ac:dyDescent="0.3">
      <c r="C132" s="120"/>
      <c r="F132" s="123"/>
      <c r="P132" s="180"/>
    </row>
    <row r="133" spans="3:16" x14ac:dyDescent="0.3">
      <c r="C133" s="120"/>
      <c r="F133" s="123"/>
      <c r="P133" s="180"/>
    </row>
    <row r="134" spans="3:16" x14ac:dyDescent="0.3">
      <c r="C134" s="120"/>
      <c r="F134" s="123"/>
      <c r="P134" s="180"/>
    </row>
    <row r="135" spans="3:16" x14ac:dyDescent="0.3">
      <c r="C135" s="120"/>
      <c r="F135" s="123"/>
      <c r="P135" s="180"/>
    </row>
    <row r="136" spans="3:16" x14ac:dyDescent="0.3">
      <c r="C136" s="120"/>
      <c r="F136" s="123"/>
      <c r="P136" s="180"/>
    </row>
    <row r="137" spans="3:16" x14ac:dyDescent="0.3">
      <c r="C137" s="120"/>
      <c r="F137" s="123"/>
      <c r="P137" s="180"/>
    </row>
    <row r="138" spans="3:16" x14ac:dyDescent="0.3">
      <c r="C138" s="120"/>
      <c r="F138" s="123"/>
      <c r="P138" s="180"/>
    </row>
    <row r="139" spans="3:16" x14ac:dyDescent="0.3">
      <c r="C139" s="120"/>
      <c r="F139" s="123"/>
      <c r="P139" s="180"/>
    </row>
    <row r="140" spans="3:16" x14ac:dyDescent="0.3">
      <c r="C140" s="120"/>
      <c r="F140" s="123"/>
      <c r="P140" s="180"/>
    </row>
    <row r="141" spans="3:16" x14ac:dyDescent="0.3">
      <c r="C141" s="120"/>
      <c r="F141" s="123"/>
      <c r="P141" s="180"/>
    </row>
    <row r="142" spans="3:16" x14ac:dyDescent="0.3">
      <c r="C142" s="120"/>
      <c r="F142" s="123"/>
      <c r="P142" s="180"/>
    </row>
    <row r="143" spans="3:16" x14ac:dyDescent="0.3">
      <c r="C143" s="120"/>
      <c r="F143" s="123"/>
      <c r="P143" s="180"/>
    </row>
    <row r="144" spans="3:16" x14ac:dyDescent="0.3">
      <c r="C144" s="120"/>
      <c r="F144" s="123"/>
      <c r="P144" s="180"/>
    </row>
    <row r="145" spans="3:16" x14ac:dyDescent="0.3">
      <c r="C145" s="120"/>
      <c r="F145" s="123"/>
      <c r="P145" s="180"/>
    </row>
    <row r="146" spans="3:16" x14ac:dyDescent="0.3">
      <c r="C146" s="120"/>
      <c r="F146" s="123"/>
      <c r="P146" s="180"/>
    </row>
    <row r="147" spans="3:16" x14ac:dyDescent="0.3">
      <c r="C147" s="120"/>
      <c r="F147" s="123"/>
      <c r="P147" s="180"/>
    </row>
    <row r="148" spans="3:16" x14ac:dyDescent="0.3">
      <c r="C148" s="120"/>
      <c r="F148" s="123"/>
      <c r="P148" s="180"/>
    </row>
    <row r="149" spans="3:16" x14ac:dyDescent="0.3">
      <c r="C149" s="120"/>
      <c r="F149" s="123"/>
      <c r="P149" s="180"/>
    </row>
    <row r="150" spans="3:16" x14ac:dyDescent="0.3">
      <c r="C150" s="120"/>
      <c r="F150" s="123"/>
      <c r="P150" s="180"/>
    </row>
    <row r="151" spans="3:16" x14ac:dyDescent="0.3">
      <c r="C151" s="120"/>
      <c r="F151" s="123"/>
      <c r="P151" s="180"/>
    </row>
    <row r="152" spans="3:16" x14ac:dyDescent="0.3">
      <c r="C152" s="120"/>
      <c r="F152" s="123"/>
      <c r="P152" s="180"/>
    </row>
    <row r="153" spans="3:16" x14ac:dyDescent="0.3">
      <c r="C153" s="120"/>
      <c r="F153" s="123"/>
      <c r="P153" s="180"/>
    </row>
    <row r="154" spans="3:16" x14ac:dyDescent="0.3">
      <c r="C154" s="120"/>
      <c r="F154" s="123"/>
      <c r="P154" s="180"/>
    </row>
    <row r="155" spans="3:16" x14ac:dyDescent="0.3">
      <c r="C155" s="120"/>
      <c r="F155" s="123"/>
      <c r="P155" s="180"/>
    </row>
    <row r="156" spans="3:16" x14ac:dyDescent="0.3">
      <c r="C156" s="120"/>
      <c r="F156" s="123"/>
      <c r="P156" s="180"/>
    </row>
    <row r="157" spans="3:16" x14ac:dyDescent="0.3">
      <c r="C157" s="120"/>
      <c r="F157" s="123"/>
      <c r="P157" s="180"/>
    </row>
    <row r="158" spans="3:16" x14ac:dyDescent="0.3">
      <c r="C158" s="120"/>
      <c r="F158" s="123"/>
      <c r="P158" s="180"/>
    </row>
    <row r="159" spans="3:16" x14ac:dyDescent="0.3">
      <c r="C159" s="120"/>
      <c r="F159" s="123"/>
      <c r="P159" s="180"/>
    </row>
    <row r="160" spans="3:16" x14ac:dyDescent="0.3">
      <c r="C160" s="120"/>
      <c r="F160" s="123"/>
      <c r="P160" s="180"/>
    </row>
    <row r="161" spans="3:16" x14ac:dyDescent="0.3">
      <c r="C161" s="120"/>
      <c r="F161" s="123"/>
      <c r="P161" s="180"/>
    </row>
    <row r="162" spans="3:16" x14ac:dyDescent="0.3">
      <c r="C162" s="120"/>
      <c r="F162" s="123"/>
      <c r="P162" s="180"/>
    </row>
    <row r="163" spans="3:16" x14ac:dyDescent="0.3">
      <c r="C163" s="120"/>
      <c r="F163" s="123"/>
      <c r="P163" s="180"/>
    </row>
    <row r="164" spans="3:16" x14ac:dyDescent="0.3">
      <c r="C164" s="120"/>
      <c r="F164" s="123"/>
      <c r="P164" s="180"/>
    </row>
    <row r="165" spans="3:16" x14ac:dyDescent="0.3">
      <c r="C165" s="120"/>
      <c r="F165" s="123"/>
      <c r="P165" s="180"/>
    </row>
    <row r="166" spans="3:16" x14ac:dyDescent="0.3">
      <c r="C166" s="120"/>
      <c r="F166" s="123"/>
      <c r="P166" s="180"/>
    </row>
    <row r="167" spans="3:16" x14ac:dyDescent="0.3">
      <c r="C167" s="120"/>
      <c r="F167" s="123"/>
      <c r="P167" s="180"/>
    </row>
    <row r="168" spans="3:16" x14ac:dyDescent="0.3">
      <c r="C168" s="120"/>
      <c r="F168" s="123"/>
      <c r="P168" s="180"/>
    </row>
    <row r="169" spans="3:16" x14ac:dyDescent="0.3">
      <c r="C169" s="120"/>
      <c r="F169" s="123"/>
      <c r="P169" s="180"/>
    </row>
    <row r="170" spans="3:16" x14ac:dyDescent="0.3">
      <c r="C170" s="120"/>
      <c r="F170" s="123"/>
      <c r="P170" s="180"/>
    </row>
    <row r="171" spans="3:16" x14ac:dyDescent="0.3">
      <c r="C171" s="120"/>
      <c r="F171" s="123"/>
      <c r="P171" s="180"/>
    </row>
    <row r="172" spans="3:16" x14ac:dyDescent="0.3">
      <c r="C172" s="120"/>
      <c r="F172" s="123"/>
      <c r="P172" s="180"/>
    </row>
    <row r="173" spans="3:16" x14ac:dyDescent="0.3">
      <c r="C173" s="120"/>
      <c r="F173" s="123"/>
      <c r="P173" s="180"/>
    </row>
    <row r="174" spans="3:16" x14ac:dyDescent="0.3">
      <c r="C174" s="120"/>
      <c r="F174" s="123"/>
      <c r="P174" s="180"/>
    </row>
    <row r="175" spans="3:16" x14ac:dyDescent="0.3">
      <c r="C175" s="120"/>
      <c r="F175" s="123"/>
      <c r="P175" s="180"/>
    </row>
    <row r="176" spans="3:16" x14ac:dyDescent="0.3">
      <c r="C176" s="120"/>
      <c r="F176" s="123"/>
      <c r="P176" s="180"/>
    </row>
    <row r="177" spans="3:16" x14ac:dyDescent="0.3">
      <c r="C177" s="120"/>
      <c r="F177" s="123"/>
      <c r="P177" s="180"/>
    </row>
    <row r="178" spans="3:16" x14ac:dyDescent="0.3">
      <c r="C178" s="120"/>
      <c r="F178" s="123"/>
      <c r="P178" s="180"/>
    </row>
    <row r="179" spans="3:16" x14ac:dyDescent="0.3">
      <c r="C179" s="120"/>
      <c r="F179" s="123"/>
      <c r="P179" s="180"/>
    </row>
    <row r="180" spans="3:16" x14ac:dyDescent="0.3">
      <c r="C180" s="120"/>
      <c r="F180" s="123"/>
      <c r="P180" s="180"/>
    </row>
    <row r="181" spans="3:16" x14ac:dyDescent="0.3">
      <c r="C181" s="120"/>
      <c r="F181" s="123"/>
      <c r="P181" s="180"/>
    </row>
    <row r="182" spans="3:16" x14ac:dyDescent="0.3">
      <c r="C182" s="120"/>
      <c r="F182" s="123"/>
      <c r="P182" s="180"/>
    </row>
    <row r="183" spans="3:16" x14ac:dyDescent="0.3">
      <c r="C183" s="120"/>
      <c r="F183" s="123"/>
      <c r="P183" s="180"/>
    </row>
    <row r="184" spans="3:16" x14ac:dyDescent="0.3">
      <c r="C184" s="120"/>
      <c r="F184" s="123"/>
      <c r="P184" s="180"/>
    </row>
    <row r="185" spans="3:16" x14ac:dyDescent="0.3">
      <c r="C185" s="120"/>
      <c r="F185" s="123"/>
      <c r="P185" s="180"/>
    </row>
    <row r="186" spans="3:16" x14ac:dyDescent="0.3">
      <c r="C186" s="120"/>
      <c r="F186" s="123"/>
      <c r="P186" s="180"/>
    </row>
    <row r="187" spans="3:16" x14ac:dyDescent="0.3">
      <c r="C187" s="120"/>
      <c r="F187" s="123"/>
      <c r="P187" s="180"/>
    </row>
    <row r="188" spans="3:16" x14ac:dyDescent="0.3">
      <c r="C188" s="120"/>
      <c r="F188" s="123"/>
      <c r="P188" s="180"/>
    </row>
    <row r="189" spans="3:16" x14ac:dyDescent="0.3">
      <c r="C189" s="120"/>
      <c r="F189" s="123"/>
      <c r="P189" s="180"/>
    </row>
    <row r="190" spans="3:16" x14ac:dyDescent="0.3">
      <c r="C190" s="120"/>
      <c r="F190" s="123"/>
      <c r="P190" s="180"/>
    </row>
    <row r="191" spans="3:16" x14ac:dyDescent="0.3">
      <c r="C191" s="120"/>
      <c r="F191" s="123"/>
      <c r="P191" s="180"/>
    </row>
    <row r="192" spans="3:16" x14ac:dyDescent="0.3">
      <c r="C192" s="120"/>
      <c r="F192" s="123"/>
      <c r="P192" s="180"/>
    </row>
    <row r="193" spans="3:16" x14ac:dyDescent="0.3">
      <c r="C193" s="120"/>
      <c r="F193" s="123"/>
      <c r="P193" s="180"/>
    </row>
    <row r="194" spans="3:16" x14ac:dyDescent="0.3">
      <c r="C194" s="120"/>
      <c r="F194" s="123"/>
      <c r="P194" s="180"/>
    </row>
    <row r="195" spans="3:16" x14ac:dyDescent="0.3">
      <c r="C195" s="120"/>
      <c r="F195" s="123"/>
      <c r="P195" s="180"/>
    </row>
    <row r="196" spans="3:16" x14ac:dyDescent="0.3">
      <c r="C196" s="120"/>
      <c r="F196" s="123"/>
      <c r="P196" s="180"/>
    </row>
    <row r="197" spans="3:16" x14ac:dyDescent="0.3">
      <c r="C197" s="120"/>
      <c r="F197" s="123"/>
      <c r="P197" s="180"/>
    </row>
    <row r="198" spans="3:16" x14ac:dyDescent="0.3">
      <c r="C198" s="120"/>
      <c r="F198" s="123"/>
      <c r="P198" s="180"/>
    </row>
    <row r="199" spans="3:16" x14ac:dyDescent="0.3">
      <c r="C199" s="120"/>
      <c r="F199" s="123"/>
      <c r="P199" s="180"/>
    </row>
    <row r="200" spans="3:16" x14ac:dyDescent="0.3">
      <c r="C200" s="120"/>
      <c r="F200" s="123"/>
      <c r="P200" s="180"/>
    </row>
    <row r="201" spans="3:16" x14ac:dyDescent="0.3">
      <c r="C201" s="120"/>
      <c r="F201" s="123"/>
      <c r="P201" s="180"/>
    </row>
    <row r="202" spans="3:16" x14ac:dyDescent="0.3">
      <c r="C202" s="120"/>
      <c r="F202" s="123"/>
      <c r="P202" s="180"/>
    </row>
    <row r="203" spans="3:16" x14ac:dyDescent="0.3">
      <c r="C203" s="120"/>
      <c r="F203" s="123"/>
      <c r="P203" s="180"/>
    </row>
    <row r="204" spans="3:16" x14ac:dyDescent="0.3">
      <c r="C204" s="120"/>
      <c r="F204" s="123"/>
      <c r="P204" s="180"/>
    </row>
    <row r="205" spans="3:16" x14ac:dyDescent="0.3">
      <c r="C205" s="120"/>
      <c r="F205" s="123"/>
      <c r="P205" s="180"/>
    </row>
    <row r="206" spans="3:16" x14ac:dyDescent="0.3">
      <c r="C206" s="120"/>
      <c r="F206" s="123"/>
      <c r="P206" s="180"/>
    </row>
    <row r="207" spans="3:16" x14ac:dyDescent="0.3">
      <c r="C207" s="120"/>
      <c r="F207" s="123"/>
      <c r="P207" s="180"/>
    </row>
    <row r="208" spans="3:16" x14ac:dyDescent="0.3">
      <c r="P208" s="180"/>
    </row>
    <row r="209" spans="16:16" x14ac:dyDescent="0.3">
      <c r="P209" s="180"/>
    </row>
    <row r="210" spans="16:16" x14ac:dyDescent="0.3">
      <c r="P210" s="180"/>
    </row>
    <row r="211" spans="16:16" x14ac:dyDescent="0.3">
      <c r="P211" s="180"/>
    </row>
    <row r="212" spans="16:16" x14ac:dyDescent="0.3">
      <c r="P212" s="180"/>
    </row>
    <row r="213" spans="16:16" x14ac:dyDescent="0.3">
      <c r="P213" s="180"/>
    </row>
    <row r="214" spans="16:16" x14ac:dyDescent="0.3">
      <c r="P214" s="180"/>
    </row>
    <row r="215" spans="16:16" x14ac:dyDescent="0.3">
      <c r="P215" s="180"/>
    </row>
    <row r="216" spans="16:16" x14ac:dyDescent="0.3">
      <c r="P216" s="180"/>
    </row>
    <row r="217" spans="16:16" x14ac:dyDescent="0.3">
      <c r="P217" s="180"/>
    </row>
    <row r="218" spans="16:16" x14ac:dyDescent="0.3">
      <c r="P218" s="180"/>
    </row>
    <row r="219" spans="16:16" x14ac:dyDescent="0.3">
      <c r="P219" s="180"/>
    </row>
    <row r="220" spans="16:16" x14ac:dyDescent="0.3">
      <c r="P220" s="180"/>
    </row>
    <row r="221" spans="16:16" x14ac:dyDescent="0.3">
      <c r="P221" s="180"/>
    </row>
    <row r="222" spans="16:16" x14ac:dyDescent="0.3">
      <c r="P222" s="180"/>
    </row>
    <row r="223" spans="16:16" x14ac:dyDescent="0.3">
      <c r="P223" s="180"/>
    </row>
    <row r="224" spans="16:16" x14ac:dyDescent="0.3">
      <c r="P224" s="180"/>
    </row>
    <row r="225" spans="16:16" x14ac:dyDescent="0.3">
      <c r="P225" s="180"/>
    </row>
    <row r="226" spans="16:16" x14ac:dyDescent="0.3">
      <c r="P226" s="180"/>
    </row>
    <row r="227" spans="16:16" x14ac:dyDescent="0.3">
      <c r="P227" s="180"/>
    </row>
    <row r="228" spans="16:16" x14ac:dyDescent="0.3">
      <c r="P228" s="180"/>
    </row>
    <row r="229" spans="16:16" x14ac:dyDescent="0.3">
      <c r="P229" s="180"/>
    </row>
    <row r="230" spans="16:16" x14ac:dyDescent="0.3">
      <c r="P230" s="180"/>
    </row>
    <row r="231" spans="16:16" x14ac:dyDescent="0.3">
      <c r="P231" s="180"/>
    </row>
    <row r="232" spans="16:16" x14ac:dyDescent="0.3">
      <c r="P232" s="180"/>
    </row>
    <row r="233" spans="16:16" x14ac:dyDescent="0.3">
      <c r="P233" s="180"/>
    </row>
    <row r="234" spans="16:16" x14ac:dyDescent="0.3">
      <c r="P234" s="180"/>
    </row>
    <row r="235" spans="16:16" x14ac:dyDescent="0.3">
      <c r="P235" s="180"/>
    </row>
    <row r="236" spans="16:16" x14ac:dyDescent="0.3">
      <c r="P236" s="180"/>
    </row>
    <row r="237" spans="16:16" x14ac:dyDescent="0.3">
      <c r="P237" s="180"/>
    </row>
    <row r="238" spans="16:16" x14ac:dyDescent="0.3">
      <c r="P238" s="180"/>
    </row>
    <row r="239" spans="16:16" x14ac:dyDescent="0.3">
      <c r="P239" s="180"/>
    </row>
    <row r="240" spans="16:16" x14ac:dyDescent="0.3">
      <c r="P240" s="180"/>
    </row>
    <row r="241" spans="16:16" x14ac:dyDescent="0.3">
      <c r="P241" s="180"/>
    </row>
    <row r="242" spans="16:16" x14ac:dyDescent="0.3">
      <c r="P242" s="180"/>
    </row>
    <row r="243" spans="16:16" x14ac:dyDescent="0.3">
      <c r="P243" s="180"/>
    </row>
    <row r="244" spans="16:16" x14ac:dyDescent="0.3">
      <c r="P244" s="180"/>
    </row>
    <row r="245" spans="16:16" x14ac:dyDescent="0.3">
      <c r="P245" s="180"/>
    </row>
    <row r="246" spans="16:16" x14ac:dyDescent="0.3">
      <c r="P246" s="180"/>
    </row>
    <row r="247" spans="16:16" x14ac:dyDescent="0.3">
      <c r="P247" s="180"/>
    </row>
    <row r="248" spans="16:16" x14ac:dyDescent="0.3">
      <c r="P248" s="180"/>
    </row>
    <row r="249" spans="16:16" x14ac:dyDescent="0.3">
      <c r="P249" s="180"/>
    </row>
    <row r="250" spans="16:16" x14ac:dyDescent="0.3">
      <c r="P250" s="180"/>
    </row>
    <row r="251" spans="16:16" x14ac:dyDescent="0.3">
      <c r="P251" s="180"/>
    </row>
    <row r="252" spans="16:16" x14ac:dyDescent="0.3">
      <c r="P252" s="180"/>
    </row>
    <row r="253" spans="16:16" x14ac:dyDescent="0.3">
      <c r="P253" s="180"/>
    </row>
    <row r="254" spans="16:16" x14ac:dyDescent="0.3">
      <c r="P254" s="180"/>
    </row>
    <row r="255" spans="16:16" x14ac:dyDescent="0.3">
      <c r="P255" s="180"/>
    </row>
    <row r="256" spans="16:16" x14ac:dyDescent="0.3">
      <c r="P256" s="180"/>
    </row>
    <row r="257" spans="16:16" x14ac:dyDescent="0.3">
      <c r="P257" s="180"/>
    </row>
    <row r="258" spans="16:16" x14ac:dyDescent="0.3">
      <c r="P258" s="180"/>
    </row>
    <row r="259" spans="16:16" x14ac:dyDescent="0.3">
      <c r="P259" s="180"/>
    </row>
    <row r="260" spans="16:16" x14ac:dyDescent="0.3">
      <c r="P260" s="180"/>
    </row>
    <row r="261" spans="16:16" x14ac:dyDescent="0.3">
      <c r="P261" s="180"/>
    </row>
    <row r="262" spans="16:16" x14ac:dyDescent="0.3">
      <c r="P262" s="180"/>
    </row>
    <row r="263" spans="16:16" x14ac:dyDescent="0.3">
      <c r="P263" s="180"/>
    </row>
    <row r="264" spans="16:16" x14ac:dyDescent="0.3">
      <c r="P264" s="180"/>
    </row>
    <row r="265" spans="16:16" x14ac:dyDescent="0.3">
      <c r="P265" s="180"/>
    </row>
    <row r="266" spans="16:16" x14ac:dyDescent="0.3">
      <c r="P266" s="180"/>
    </row>
    <row r="267" spans="16:16" x14ac:dyDescent="0.3">
      <c r="P267" s="180"/>
    </row>
    <row r="268" spans="16:16" x14ac:dyDescent="0.3">
      <c r="P268" s="180"/>
    </row>
    <row r="269" spans="16:16" x14ac:dyDescent="0.3">
      <c r="P269" s="180"/>
    </row>
    <row r="270" spans="16:16" x14ac:dyDescent="0.3">
      <c r="P270" s="180"/>
    </row>
    <row r="271" spans="16:16" x14ac:dyDescent="0.3">
      <c r="P271" s="180"/>
    </row>
    <row r="272" spans="16:16" x14ac:dyDescent="0.3">
      <c r="P272" s="180"/>
    </row>
    <row r="273" spans="16:16" x14ac:dyDescent="0.3">
      <c r="P273" s="180"/>
    </row>
    <row r="274" spans="16:16" x14ac:dyDescent="0.3">
      <c r="P274" s="180"/>
    </row>
    <row r="275" spans="16:16" x14ac:dyDescent="0.3">
      <c r="P275" s="180"/>
    </row>
    <row r="276" spans="16:16" x14ac:dyDescent="0.3">
      <c r="P276" s="180"/>
    </row>
    <row r="277" spans="16:16" x14ac:dyDescent="0.3">
      <c r="P277" s="180"/>
    </row>
    <row r="278" spans="16:16" x14ac:dyDescent="0.3">
      <c r="P278" s="180"/>
    </row>
    <row r="279" spans="16:16" x14ac:dyDescent="0.3">
      <c r="P279" s="180"/>
    </row>
    <row r="280" spans="16:16" x14ac:dyDescent="0.3">
      <c r="P280" s="180"/>
    </row>
    <row r="281" spans="16:16" x14ac:dyDescent="0.3">
      <c r="P281" s="180"/>
    </row>
    <row r="282" spans="16:16" x14ac:dyDescent="0.3">
      <c r="P282" s="180"/>
    </row>
    <row r="283" spans="16:16" x14ac:dyDescent="0.3">
      <c r="P283" s="180"/>
    </row>
    <row r="284" spans="16:16" x14ac:dyDescent="0.3">
      <c r="P284" s="180"/>
    </row>
    <row r="285" spans="16:16" x14ac:dyDescent="0.3">
      <c r="P285" s="180"/>
    </row>
    <row r="286" spans="16:16" x14ac:dyDescent="0.3">
      <c r="P286" s="180"/>
    </row>
    <row r="287" spans="16:16" x14ac:dyDescent="0.3">
      <c r="P287" s="180"/>
    </row>
    <row r="288" spans="16:16" x14ac:dyDescent="0.3">
      <c r="P288" s="180"/>
    </row>
    <row r="289" spans="16:16" x14ac:dyDescent="0.3">
      <c r="P289" s="180"/>
    </row>
    <row r="290" spans="16:16" x14ac:dyDescent="0.3">
      <c r="P290" s="180"/>
    </row>
    <row r="291" spans="16:16" x14ac:dyDescent="0.3">
      <c r="P291" s="180"/>
    </row>
    <row r="292" spans="16:16" x14ac:dyDescent="0.3">
      <c r="P292" s="180"/>
    </row>
    <row r="293" spans="16:16" x14ac:dyDescent="0.3">
      <c r="P293" s="180"/>
    </row>
    <row r="294" spans="16:16" x14ac:dyDescent="0.3">
      <c r="P294" s="180"/>
    </row>
    <row r="295" spans="16:16" x14ac:dyDescent="0.3">
      <c r="P295" s="180"/>
    </row>
    <row r="296" spans="16:16" x14ac:dyDescent="0.3">
      <c r="P296" s="180"/>
    </row>
    <row r="297" spans="16:16" x14ac:dyDescent="0.3">
      <c r="P297" s="180"/>
    </row>
    <row r="298" spans="16:16" x14ac:dyDescent="0.3">
      <c r="P298" s="180"/>
    </row>
    <row r="299" spans="16:16" x14ac:dyDescent="0.3">
      <c r="P299" s="180"/>
    </row>
    <row r="300" spans="16:16" x14ac:dyDescent="0.3">
      <c r="P300" s="180"/>
    </row>
    <row r="301" spans="16:16" x14ac:dyDescent="0.3">
      <c r="P301" s="180"/>
    </row>
    <row r="302" spans="16:16" x14ac:dyDescent="0.3">
      <c r="P302" s="180"/>
    </row>
    <row r="303" spans="16:16" x14ac:dyDescent="0.3">
      <c r="P303" s="180"/>
    </row>
    <row r="304" spans="16:16" x14ac:dyDescent="0.3">
      <c r="P304" s="180"/>
    </row>
    <row r="305" spans="16:16" x14ac:dyDescent="0.3">
      <c r="P305" s="180"/>
    </row>
    <row r="306" spans="16:16" x14ac:dyDescent="0.3">
      <c r="P306" s="180"/>
    </row>
    <row r="307" spans="16:16" x14ac:dyDescent="0.3">
      <c r="P307" s="180"/>
    </row>
    <row r="308" spans="16:16" x14ac:dyDescent="0.3">
      <c r="P308" s="180"/>
    </row>
    <row r="309" spans="16:16" x14ac:dyDescent="0.3">
      <c r="P309" s="180"/>
    </row>
    <row r="310" spans="16:16" x14ac:dyDescent="0.3">
      <c r="P310" s="180"/>
    </row>
    <row r="311" spans="16:16" x14ac:dyDescent="0.3">
      <c r="P311" s="180"/>
    </row>
    <row r="312" spans="16:16" x14ac:dyDescent="0.3">
      <c r="P312" s="180"/>
    </row>
    <row r="313" spans="16:16" x14ac:dyDescent="0.3">
      <c r="P313" s="180"/>
    </row>
    <row r="314" spans="16:16" x14ac:dyDescent="0.3">
      <c r="P314" s="180"/>
    </row>
    <row r="315" spans="16:16" x14ac:dyDescent="0.3">
      <c r="P315" s="180"/>
    </row>
    <row r="316" spans="16:16" x14ac:dyDescent="0.3">
      <c r="P316" s="180"/>
    </row>
    <row r="317" spans="16:16" x14ac:dyDescent="0.3">
      <c r="P317" s="180"/>
    </row>
    <row r="318" spans="16:16" x14ac:dyDescent="0.3">
      <c r="P318" s="180"/>
    </row>
    <row r="319" spans="16:16" x14ac:dyDescent="0.3">
      <c r="P319" s="180"/>
    </row>
    <row r="320" spans="16:16" x14ac:dyDescent="0.3">
      <c r="P320" s="180"/>
    </row>
    <row r="321" spans="16:16" x14ac:dyDescent="0.3">
      <c r="P321" s="180"/>
    </row>
    <row r="322" spans="16:16" x14ac:dyDescent="0.3">
      <c r="P322" s="180"/>
    </row>
    <row r="323" spans="16:16" x14ac:dyDescent="0.3">
      <c r="P323" s="180"/>
    </row>
    <row r="324" spans="16:16" x14ac:dyDescent="0.3">
      <c r="P324" s="180"/>
    </row>
    <row r="325" spans="16:16" x14ac:dyDescent="0.3">
      <c r="P325" s="180"/>
    </row>
    <row r="326" spans="16:16" x14ac:dyDescent="0.3">
      <c r="P326" s="180"/>
    </row>
    <row r="327" spans="16:16" x14ac:dyDescent="0.3">
      <c r="P327" s="180"/>
    </row>
    <row r="328" spans="16:16" x14ac:dyDescent="0.3">
      <c r="P328" s="180"/>
    </row>
    <row r="329" spans="16:16" x14ac:dyDescent="0.3">
      <c r="P329" s="180"/>
    </row>
    <row r="330" spans="16:16" x14ac:dyDescent="0.3">
      <c r="P330" s="180"/>
    </row>
    <row r="331" spans="16:16" x14ac:dyDescent="0.3">
      <c r="P331" s="180"/>
    </row>
    <row r="332" spans="16:16" x14ac:dyDescent="0.3">
      <c r="P332" s="180"/>
    </row>
    <row r="333" spans="16:16" x14ac:dyDescent="0.3">
      <c r="P333" s="180"/>
    </row>
    <row r="334" spans="16:16" x14ac:dyDescent="0.3">
      <c r="P334" s="180"/>
    </row>
    <row r="335" spans="16:16" x14ac:dyDescent="0.3">
      <c r="P335" s="180"/>
    </row>
    <row r="336" spans="16:16" x14ac:dyDescent="0.3">
      <c r="P336" s="180"/>
    </row>
    <row r="337" spans="16:16" x14ac:dyDescent="0.3">
      <c r="P337" s="180"/>
    </row>
    <row r="338" spans="16:16" x14ac:dyDescent="0.3">
      <c r="P338" s="180"/>
    </row>
    <row r="339" spans="16:16" x14ac:dyDescent="0.3">
      <c r="P339" s="180"/>
    </row>
    <row r="340" spans="16:16" x14ac:dyDescent="0.3">
      <c r="P340" s="180"/>
    </row>
    <row r="341" spans="16:16" x14ac:dyDescent="0.3">
      <c r="P341" s="180"/>
    </row>
    <row r="342" spans="16:16" x14ac:dyDescent="0.3">
      <c r="P342" s="180"/>
    </row>
    <row r="343" spans="16:16" x14ac:dyDescent="0.3">
      <c r="P343" s="180"/>
    </row>
    <row r="344" spans="16:16" x14ac:dyDescent="0.3">
      <c r="P344" s="180"/>
    </row>
    <row r="345" spans="16:16" x14ac:dyDescent="0.3">
      <c r="P345" s="180"/>
    </row>
    <row r="346" spans="16:16" x14ac:dyDescent="0.3">
      <c r="P346" s="180"/>
    </row>
    <row r="347" spans="16:16" x14ac:dyDescent="0.3">
      <c r="P347" s="180"/>
    </row>
    <row r="348" spans="16:16" x14ac:dyDescent="0.3">
      <c r="P348" s="180"/>
    </row>
    <row r="349" spans="16:16" x14ac:dyDescent="0.3">
      <c r="P349" s="180"/>
    </row>
    <row r="350" spans="16:16" x14ac:dyDescent="0.3">
      <c r="P350" s="180"/>
    </row>
    <row r="351" spans="16:16" x14ac:dyDescent="0.3">
      <c r="P351" s="180"/>
    </row>
    <row r="352" spans="16:16" x14ac:dyDescent="0.3">
      <c r="P352" s="180"/>
    </row>
    <row r="353" spans="16:16" x14ac:dyDescent="0.3">
      <c r="P353" s="180"/>
    </row>
    <row r="354" spans="16:16" x14ac:dyDescent="0.3">
      <c r="P354" s="180"/>
    </row>
    <row r="355" spans="16:16" x14ac:dyDescent="0.3">
      <c r="P355" s="180"/>
    </row>
    <row r="356" spans="16:16" x14ac:dyDescent="0.3">
      <c r="P356" s="180"/>
    </row>
    <row r="357" spans="16:16" x14ac:dyDescent="0.3">
      <c r="P357" s="180"/>
    </row>
    <row r="358" spans="16:16" x14ac:dyDescent="0.3">
      <c r="P358" s="180"/>
    </row>
    <row r="359" spans="16:16" x14ac:dyDescent="0.3">
      <c r="P359" s="180"/>
    </row>
    <row r="360" spans="16:16" x14ac:dyDescent="0.3">
      <c r="P360" s="180"/>
    </row>
    <row r="361" spans="16:16" x14ac:dyDescent="0.3">
      <c r="P361" s="180"/>
    </row>
    <row r="362" spans="16:16" x14ac:dyDescent="0.3">
      <c r="P362" s="180"/>
    </row>
    <row r="363" spans="16:16" x14ac:dyDescent="0.3">
      <c r="P363" s="180"/>
    </row>
    <row r="364" spans="16:16" x14ac:dyDescent="0.3">
      <c r="P364" s="180"/>
    </row>
    <row r="365" spans="16:16" x14ac:dyDescent="0.3">
      <c r="P365" s="180"/>
    </row>
    <row r="366" spans="16:16" x14ac:dyDescent="0.3">
      <c r="P366" s="180"/>
    </row>
    <row r="367" spans="16:16" x14ac:dyDescent="0.3">
      <c r="P367" s="180"/>
    </row>
    <row r="368" spans="16:16" x14ac:dyDescent="0.3">
      <c r="P368" s="180"/>
    </row>
    <row r="369" spans="16:16" x14ac:dyDescent="0.3">
      <c r="P369" s="180"/>
    </row>
    <row r="370" spans="16:16" x14ac:dyDescent="0.3">
      <c r="P370" s="180"/>
    </row>
    <row r="371" spans="16:16" x14ac:dyDescent="0.3">
      <c r="P371" s="180"/>
    </row>
    <row r="372" spans="16:16" x14ac:dyDescent="0.3">
      <c r="P372" s="180"/>
    </row>
    <row r="373" spans="16:16" x14ac:dyDescent="0.3">
      <c r="P373" s="180"/>
    </row>
    <row r="374" spans="16:16" x14ac:dyDescent="0.3">
      <c r="P374" s="180"/>
    </row>
    <row r="375" spans="16:16" x14ac:dyDescent="0.3">
      <c r="P375" s="180"/>
    </row>
    <row r="376" spans="16:16" x14ac:dyDescent="0.3">
      <c r="P376" s="180"/>
    </row>
    <row r="377" spans="16:16" x14ac:dyDescent="0.3">
      <c r="P377" s="180"/>
    </row>
    <row r="378" spans="16:16" x14ac:dyDescent="0.3">
      <c r="P378" s="180"/>
    </row>
    <row r="379" spans="16:16" x14ac:dyDescent="0.3">
      <c r="P379" s="180"/>
    </row>
    <row r="380" spans="16:16" x14ac:dyDescent="0.3">
      <c r="P380" s="180"/>
    </row>
    <row r="381" spans="16:16" x14ac:dyDescent="0.3">
      <c r="P381" s="180"/>
    </row>
    <row r="382" spans="16:16" x14ac:dyDescent="0.3">
      <c r="P382" s="180"/>
    </row>
    <row r="383" spans="16:16" x14ac:dyDescent="0.3">
      <c r="P383" s="180"/>
    </row>
    <row r="384" spans="16:16" x14ac:dyDescent="0.3">
      <c r="P384" s="180"/>
    </row>
    <row r="385" spans="16:16" x14ac:dyDescent="0.3">
      <c r="P385" s="180"/>
    </row>
    <row r="386" spans="16:16" x14ac:dyDescent="0.3">
      <c r="P386" s="180"/>
    </row>
    <row r="387" spans="16:16" x14ac:dyDescent="0.3">
      <c r="P387" s="180"/>
    </row>
    <row r="388" spans="16:16" x14ac:dyDescent="0.3">
      <c r="P388" s="180"/>
    </row>
    <row r="389" spans="16:16" x14ac:dyDescent="0.3">
      <c r="P389" s="180"/>
    </row>
    <row r="390" spans="16:16" x14ac:dyDescent="0.3">
      <c r="P390" s="180"/>
    </row>
    <row r="391" spans="16:16" x14ac:dyDescent="0.3">
      <c r="P391" s="180"/>
    </row>
    <row r="392" spans="16:16" x14ac:dyDescent="0.3">
      <c r="P392" s="180"/>
    </row>
    <row r="393" spans="16:16" x14ac:dyDescent="0.3">
      <c r="P393" s="180"/>
    </row>
    <row r="394" spans="16:16" x14ac:dyDescent="0.3">
      <c r="P394" s="180"/>
    </row>
    <row r="395" spans="16:16" x14ac:dyDescent="0.3">
      <c r="P395" s="180"/>
    </row>
    <row r="396" spans="16:16" x14ac:dyDescent="0.3">
      <c r="P396" s="180"/>
    </row>
    <row r="397" spans="16:16" x14ac:dyDescent="0.3">
      <c r="P397" s="180"/>
    </row>
    <row r="398" spans="16:16" x14ac:dyDescent="0.3">
      <c r="P398" s="180"/>
    </row>
    <row r="399" spans="16:16" x14ac:dyDescent="0.3">
      <c r="P399" s="180"/>
    </row>
    <row r="400" spans="16:16" x14ac:dyDescent="0.3">
      <c r="P400" s="180"/>
    </row>
    <row r="401" spans="16:16" x14ac:dyDescent="0.3">
      <c r="P401" s="180"/>
    </row>
    <row r="402" spans="16:16" x14ac:dyDescent="0.3">
      <c r="P402" s="180"/>
    </row>
    <row r="403" spans="16:16" x14ac:dyDescent="0.3">
      <c r="P403" s="180"/>
    </row>
    <row r="404" spans="16:16" x14ac:dyDescent="0.3">
      <c r="P404" s="180"/>
    </row>
    <row r="405" spans="16:16" x14ac:dyDescent="0.3">
      <c r="P405" s="180"/>
    </row>
    <row r="406" spans="16:16" x14ac:dyDescent="0.3">
      <c r="P406" s="180"/>
    </row>
    <row r="407" spans="16:16" x14ac:dyDescent="0.3">
      <c r="P407" s="180"/>
    </row>
    <row r="408" spans="16:16" x14ac:dyDescent="0.3">
      <c r="P408" s="180"/>
    </row>
    <row r="409" spans="16:16" x14ac:dyDescent="0.3">
      <c r="P409" s="180"/>
    </row>
    <row r="410" spans="16:16" x14ac:dyDescent="0.3">
      <c r="P410" s="180"/>
    </row>
    <row r="411" spans="16:16" x14ac:dyDescent="0.3">
      <c r="P411" s="180"/>
    </row>
    <row r="412" spans="16:16" x14ac:dyDescent="0.3">
      <c r="P412" s="180"/>
    </row>
    <row r="413" spans="16:16" x14ac:dyDescent="0.3">
      <c r="P413" s="180"/>
    </row>
    <row r="414" spans="16:16" x14ac:dyDescent="0.3">
      <c r="P414" s="180"/>
    </row>
    <row r="415" spans="16:16" x14ac:dyDescent="0.3">
      <c r="P415" s="180"/>
    </row>
    <row r="416" spans="16:16" x14ac:dyDescent="0.3">
      <c r="P416" s="180"/>
    </row>
    <row r="417" spans="16:16" x14ac:dyDescent="0.3">
      <c r="P417" s="180"/>
    </row>
    <row r="418" spans="16:16" x14ac:dyDescent="0.3">
      <c r="P418" s="180"/>
    </row>
    <row r="419" spans="16:16" x14ac:dyDescent="0.3">
      <c r="P419" s="180"/>
    </row>
    <row r="420" spans="16:16" x14ac:dyDescent="0.3">
      <c r="P420" s="180"/>
    </row>
    <row r="421" spans="16:16" x14ac:dyDescent="0.3">
      <c r="P421" s="180"/>
    </row>
    <row r="422" spans="16:16" x14ac:dyDescent="0.3">
      <c r="P422" s="180"/>
    </row>
    <row r="423" spans="16:16" x14ac:dyDescent="0.3">
      <c r="P423" s="180"/>
    </row>
    <row r="424" spans="16:16" x14ac:dyDescent="0.3">
      <c r="P424" s="180"/>
    </row>
    <row r="425" spans="16:16" x14ac:dyDescent="0.3">
      <c r="P425" s="180"/>
    </row>
    <row r="426" spans="16:16" x14ac:dyDescent="0.3">
      <c r="P426" s="180"/>
    </row>
    <row r="427" spans="16:16" x14ac:dyDescent="0.3">
      <c r="P427" s="180"/>
    </row>
    <row r="428" spans="16:16" x14ac:dyDescent="0.3">
      <c r="P428" s="180"/>
    </row>
    <row r="429" spans="16:16" x14ac:dyDescent="0.3">
      <c r="P429" s="180"/>
    </row>
    <row r="430" spans="16:16" x14ac:dyDescent="0.3">
      <c r="P430" s="180"/>
    </row>
    <row r="431" spans="16:16" x14ac:dyDescent="0.3">
      <c r="P431" s="180"/>
    </row>
    <row r="432" spans="16:16" x14ac:dyDescent="0.3">
      <c r="P432" s="180"/>
    </row>
    <row r="433" spans="16:16" x14ac:dyDescent="0.3">
      <c r="P433" s="180"/>
    </row>
    <row r="434" spans="16:16" x14ac:dyDescent="0.3">
      <c r="P434" s="180"/>
    </row>
    <row r="435" spans="16:16" x14ac:dyDescent="0.3">
      <c r="P435" s="180"/>
    </row>
    <row r="436" spans="16:16" x14ac:dyDescent="0.3">
      <c r="P436" s="180"/>
    </row>
    <row r="437" spans="16:16" x14ac:dyDescent="0.3">
      <c r="P437" s="180"/>
    </row>
    <row r="438" spans="16:16" x14ac:dyDescent="0.3">
      <c r="P438" s="180"/>
    </row>
    <row r="439" spans="16:16" x14ac:dyDescent="0.3">
      <c r="P439" s="180"/>
    </row>
    <row r="440" spans="16:16" x14ac:dyDescent="0.3">
      <c r="P440" s="180"/>
    </row>
    <row r="441" spans="16:16" x14ac:dyDescent="0.3">
      <c r="P441" s="180"/>
    </row>
    <row r="442" spans="16:16" x14ac:dyDescent="0.3">
      <c r="P442" s="180"/>
    </row>
    <row r="443" spans="16:16" x14ac:dyDescent="0.3">
      <c r="P443" s="180"/>
    </row>
    <row r="444" spans="16:16" x14ac:dyDescent="0.3">
      <c r="P444" s="180"/>
    </row>
    <row r="445" spans="16:16" x14ac:dyDescent="0.3">
      <c r="P445" s="180"/>
    </row>
    <row r="446" spans="16:16" x14ac:dyDescent="0.3">
      <c r="P446" s="180"/>
    </row>
    <row r="447" spans="16:16" x14ac:dyDescent="0.3">
      <c r="P447" s="180"/>
    </row>
    <row r="448" spans="16:16" x14ac:dyDescent="0.3">
      <c r="P448" s="180"/>
    </row>
    <row r="449" spans="16:16" x14ac:dyDescent="0.3">
      <c r="P449" s="180"/>
    </row>
    <row r="450" spans="16:16" x14ac:dyDescent="0.3">
      <c r="P450" s="180"/>
    </row>
    <row r="451" spans="16:16" x14ac:dyDescent="0.3">
      <c r="P451" s="180"/>
    </row>
    <row r="452" spans="16:16" x14ac:dyDescent="0.3">
      <c r="P452" s="180"/>
    </row>
    <row r="453" spans="16:16" x14ac:dyDescent="0.3">
      <c r="P453" s="180"/>
    </row>
    <row r="454" spans="16:16" x14ac:dyDescent="0.3">
      <c r="P454" s="180"/>
    </row>
    <row r="455" spans="16:16" x14ac:dyDescent="0.3">
      <c r="P455" s="180"/>
    </row>
    <row r="456" spans="16:16" x14ac:dyDescent="0.3">
      <c r="P456" s="180"/>
    </row>
    <row r="457" spans="16:16" x14ac:dyDescent="0.3">
      <c r="P457" s="180"/>
    </row>
    <row r="458" spans="16:16" x14ac:dyDescent="0.3">
      <c r="P458" s="180"/>
    </row>
    <row r="459" spans="16:16" x14ac:dyDescent="0.3">
      <c r="P459" s="180"/>
    </row>
    <row r="460" spans="16:16" x14ac:dyDescent="0.3">
      <c r="P460" s="180"/>
    </row>
    <row r="461" spans="16:16" x14ac:dyDescent="0.3">
      <c r="P461" s="180"/>
    </row>
    <row r="462" spans="16:16" x14ac:dyDescent="0.3">
      <c r="P462" s="180"/>
    </row>
    <row r="463" spans="16:16" x14ac:dyDescent="0.3">
      <c r="P463" s="180"/>
    </row>
    <row r="464" spans="16:16" x14ac:dyDescent="0.3">
      <c r="P464" s="180"/>
    </row>
    <row r="465" spans="16:16" x14ac:dyDescent="0.3">
      <c r="P465" s="180"/>
    </row>
    <row r="466" spans="16:16" x14ac:dyDescent="0.3">
      <c r="P466" s="180"/>
    </row>
    <row r="467" spans="16:16" x14ac:dyDescent="0.3">
      <c r="P467" s="180"/>
    </row>
    <row r="468" spans="16:16" x14ac:dyDescent="0.3">
      <c r="P468" s="180"/>
    </row>
    <row r="469" spans="16:16" x14ac:dyDescent="0.3">
      <c r="P469" s="180"/>
    </row>
    <row r="470" spans="16:16" x14ac:dyDescent="0.3">
      <c r="P470" s="180"/>
    </row>
    <row r="471" spans="16:16" x14ac:dyDescent="0.3">
      <c r="P471" s="180"/>
    </row>
    <row r="472" spans="16:16" x14ac:dyDescent="0.3">
      <c r="P472" s="180"/>
    </row>
    <row r="473" spans="16:16" x14ac:dyDescent="0.3">
      <c r="P473" s="180"/>
    </row>
    <row r="474" spans="16:16" x14ac:dyDescent="0.3">
      <c r="P474" s="180"/>
    </row>
    <row r="475" spans="16:16" x14ac:dyDescent="0.3">
      <c r="P475" s="180"/>
    </row>
    <row r="476" spans="16:16" x14ac:dyDescent="0.3">
      <c r="P476" s="180"/>
    </row>
    <row r="477" spans="16:16" x14ac:dyDescent="0.3">
      <c r="P477" s="180"/>
    </row>
    <row r="478" spans="16:16" x14ac:dyDescent="0.3">
      <c r="P478" s="180"/>
    </row>
    <row r="479" spans="16:16" x14ac:dyDescent="0.3">
      <c r="P479" s="180"/>
    </row>
    <row r="480" spans="16:16" x14ac:dyDescent="0.3">
      <c r="P480" s="180"/>
    </row>
    <row r="481" spans="16:16" x14ac:dyDescent="0.3">
      <c r="P481" s="180"/>
    </row>
    <row r="482" spans="16:16" x14ac:dyDescent="0.3">
      <c r="P482" s="180"/>
    </row>
    <row r="483" spans="16:16" x14ac:dyDescent="0.3">
      <c r="P483" s="180"/>
    </row>
    <row r="484" spans="16:16" x14ac:dyDescent="0.3">
      <c r="P484" s="180"/>
    </row>
    <row r="485" spans="16:16" x14ac:dyDescent="0.3">
      <c r="P485" s="180"/>
    </row>
    <row r="486" spans="16:16" x14ac:dyDescent="0.3">
      <c r="P486" s="180"/>
    </row>
    <row r="487" spans="16:16" x14ac:dyDescent="0.3">
      <c r="P487" s="180"/>
    </row>
    <row r="488" spans="16:16" x14ac:dyDescent="0.3">
      <c r="P488" s="180"/>
    </row>
    <row r="489" spans="16:16" x14ac:dyDescent="0.3">
      <c r="P489" s="180"/>
    </row>
    <row r="490" spans="16:16" x14ac:dyDescent="0.3">
      <c r="P490" s="180"/>
    </row>
    <row r="491" spans="16:16" x14ac:dyDescent="0.3">
      <c r="P491" s="180"/>
    </row>
    <row r="492" spans="16:16" x14ac:dyDescent="0.3">
      <c r="P492" s="180"/>
    </row>
    <row r="493" spans="16:16" x14ac:dyDescent="0.3">
      <c r="P493" s="180"/>
    </row>
    <row r="494" spans="16:16" x14ac:dyDescent="0.3">
      <c r="P494" s="180"/>
    </row>
    <row r="495" spans="16:16" x14ac:dyDescent="0.3">
      <c r="P495" s="180"/>
    </row>
    <row r="496" spans="16:16" x14ac:dyDescent="0.3">
      <c r="P496" s="180"/>
    </row>
    <row r="497" spans="16:16" x14ac:dyDescent="0.3">
      <c r="P497" s="180"/>
    </row>
    <row r="498" spans="16:16" x14ac:dyDescent="0.3">
      <c r="P498" s="180"/>
    </row>
    <row r="499" spans="16:16" x14ac:dyDescent="0.3">
      <c r="P499" s="180"/>
    </row>
    <row r="500" spans="16:16" x14ac:dyDescent="0.3">
      <c r="P500" s="180"/>
    </row>
    <row r="501" spans="16:16" x14ac:dyDescent="0.3">
      <c r="P501" s="180"/>
    </row>
    <row r="502" spans="16:16" x14ac:dyDescent="0.3">
      <c r="P502" s="180"/>
    </row>
    <row r="503" spans="16:16" x14ac:dyDescent="0.3">
      <c r="P503" s="180"/>
    </row>
    <row r="504" spans="16:16" x14ac:dyDescent="0.3">
      <c r="P504" s="180"/>
    </row>
    <row r="505" spans="16:16" x14ac:dyDescent="0.3">
      <c r="P505" s="180"/>
    </row>
    <row r="506" spans="16:16" x14ac:dyDescent="0.3">
      <c r="P506" s="180"/>
    </row>
    <row r="507" spans="16:16" x14ac:dyDescent="0.3">
      <c r="P507" s="180"/>
    </row>
    <row r="508" spans="16:16" x14ac:dyDescent="0.3">
      <c r="P508" s="180"/>
    </row>
    <row r="509" spans="16:16" x14ac:dyDescent="0.3">
      <c r="P509" s="180"/>
    </row>
    <row r="510" spans="16:16" x14ac:dyDescent="0.3">
      <c r="P510" s="180"/>
    </row>
    <row r="511" spans="16:16" x14ac:dyDescent="0.3">
      <c r="P511" s="180"/>
    </row>
    <row r="512" spans="16:16" x14ac:dyDescent="0.3">
      <c r="P512" s="180"/>
    </row>
    <row r="513" spans="16:16" x14ac:dyDescent="0.3">
      <c r="P513" s="180"/>
    </row>
    <row r="514" spans="16:16" x14ac:dyDescent="0.3">
      <c r="P514" s="180"/>
    </row>
    <row r="515" spans="16:16" x14ac:dyDescent="0.3">
      <c r="P515" s="180"/>
    </row>
    <row r="516" spans="16:16" x14ac:dyDescent="0.3">
      <c r="P516" s="180"/>
    </row>
    <row r="517" spans="16:16" x14ac:dyDescent="0.3">
      <c r="P517" s="180"/>
    </row>
    <row r="518" spans="16:16" x14ac:dyDescent="0.3">
      <c r="P518" s="180"/>
    </row>
    <row r="519" spans="16:16" x14ac:dyDescent="0.3">
      <c r="P519" s="180"/>
    </row>
    <row r="520" spans="16:16" x14ac:dyDescent="0.3">
      <c r="P520" s="180"/>
    </row>
    <row r="521" spans="16:16" x14ac:dyDescent="0.3">
      <c r="P521" s="180"/>
    </row>
    <row r="522" spans="16:16" x14ac:dyDescent="0.3">
      <c r="P522" s="180"/>
    </row>
    <row r="523" spans="16:16" x14ac:dyDescent="0.3">
      <c r="P523" s="180"/>
    </row>
    <row r="524" spans="16:16" x14ac:dyDescent="0.3">
      <c r="P524" s="180"/>
    </row>
    <row r="525" spans="16:16" x14ac:dyDescent="0.3">
      <c r="P525" s="180"/>
    </row>
    <row r="526" spans="16:16" x14ac:dyDescent="0.3">
      <c r="P526" s="180"/>
    </row>
    <row r="527" spans="16:16" x14ac:dyDescent="0.3">
      <c r="P527" s="180"/>
    </row>
    <row r="528" spans="16:16" x14ac:dyDescent="0.3">
      <c r="P528" s="180"/>
    </row>
    <row r="529" spans="16:16" x14ac:dyDescent="0.3">
      <c r="P529" s="180"/>
    </row>
    <row r="530" spans="16:16" x14ac:dyDescent="0.3">
      <c r="P530" s="180"/>
    </row>
    <row r="531" spans="16:16" x14ac:dyDescent="0.3">
      <c r="P531" s="180"/>
    </row>
    <row r="532" spans="16:16" x14ac:dyDescent="0.3">
      <c r="P532" s="180"/>
    </row>
    <row r="533" spans="16:16" x14ac:dyDescent="0.3">
      <c r="P533" s="180"/>
    </row>
    <row r="534" spans="16:16" x14ac:dyDescent="0.3">
      <c r="P534" s="180"/>
    </row>
    <row r="535" spans="16:16" x14ac:dyDescent="0.3">
      <c r="P535" s="180"/>
    </row>
    <row r="536" spans="16:16" x14ac:dyDescent="0.3">
      <c r="P536" s="180"/>
    </row>
    <row r="537" spans="16:16" x14ac:dyDescent="0.3">
      <c r="P537" s="180"/>
    </row>
    <row r="538" spans="16:16" x14ac:dyDescent="0.3">
      <c r="P538" s="180"/>
    </row>
    <row r="539" spans="16:16" x14ac:dyDescent="0.3">
      <c r="P539" s="180"/>
    </row>
    <row r="540" spans="16:16" x14ac:dyDescent="0.3">
      <c r="P540" s="180"/>
    </row>
    <row r="541" spans="16:16" x14ac:dyDescent="0.3">
      <c r="P541" s="180"/>
    </row>
    <row r="542" spans="16:16" x14ac:dyDescent="0.3">
      <c r="P542" s="180"/>
    </row>
    <row r="543" spans="16:16" x14ac:dyDescent="0.3">
      <c r="P543" s="180"/>
    </row>
    <row r="544" spans="16:16" x14ac:dyDescent="0.3">
      <c r="P544" s="180"/>
    </row>
    <row r="545" spans="16:16" x14ac:dyDescent="0.3">
      <c r="P545" s="180"/>
    </row>
    <row r="546" spans="16:16" x14ac:dyDescent="0.3">
      <c r="P546" s="180"/>
    </row>
    <row r="547" spans="16:16" x14ac:dyDescent="0.3">
      <c r="P547" s="180"/>
    </row>
    <row r="548" spans="16:16" x14ac:dyDescent="0.3">
      <c r="P548" s="180"/>
    </row>
    <row r="549" spans="16:16" x14ac:dyDescent="0.3">
      <c r="P549" s="180"/>
    </row>
    <row r="550" spans="16:16" x14ac:dyDescent="0.3">
      <c r="P550" s="180"/>
    </row>
    <row r="551" spans="16:16" x14ac:dyDescent="0.3">
      <c r="P551" s="180"/>
    </row>
    <row r="552" spans="16:16" x14ac:dyDescent="0.3">
      <c r="P552" s="180"/>
    </row>
    <row r="553" spans="16:16" x14ac:dyDescent="0.3">
      <c r="P553" s="180"/>
    </row>
    <row r="554" spans="16:16" x14ac:dyDescent="0.3">
      <c r="P554" s="180"/>
    </row>
    <row r="555" spans="16:16" x14ac:dyDescent="0.3">
      <c r="P555" s="180"/>
    </row>
    <row r="556" spans="16:16" x14ac:dyDescent="0.3">
      <c r="P556" s="180"/>
    </row>
    <row r="557" spans="16:16" x14ac:dyDescent="0.3">
      <c r="P557" s="180"/>
    </row>
    <row r="558" spans="16:16" x14ac:dyDescent="0.3">
      <c r="P558" s="180"/>
    </row>
    <row r="559" spans="16:16" x14ac:dyDescent="0.3">
      <c r="P559" s="180"/>
    </row>
    <row r="560" spans="16:16" x14ac:dyDescent="0.3">
      <c r="P560" s="180"/>
    </row>
    <row r="561" spans="16:16" x14ac:dyDescent="0.3">
      <c r="P561" s="180"/>
    </row>
    <row r="562" spans="16:16" x14ac:dyDescent="0.3">
      <c r="P562" s="180"/>
    </row>
    <row r="563" spans="16:16" x14ac:dyDescent="0.3">
      <c r="P563" s="180"/>
    </row>
    <row r="564" spans="16:16" x14ac:dyDescent="0.3">
      <c r="P564" s="180"/>
    </row>
    <row r="565" spans="16:16" x14ac:dyDescent="0.3">
      <c r="P565" s="180"/>
    </row>
    <row r="566" spans="16:16" x14ac:dyDescent="0.3">
      <c r="P566" s="180"/>
    </row>
    <row r="567" spans="16:16" x14ac:dyDescent="0.3">
      <c r="P567" s="180"/>
    </row>
    <row r="568" spans="16:16" x14ac:dyDescent="0.3">
      <c r="P568" s="180"/>
    </row>
    <row r="569" spans="16:16" x14ac:dyDescent="0.3">
      <c r="P569" s="180"/>
    </row>
    <row r="570" spans="16:16" x14ac:dyDescent="0.3">
      <c r="P570" s="180"/>
    </row>
    <row r="571" spans="16:16" x14ac:dyDescent="0.3">
      <c r="P571" s="180"/>
    </row>
    <row r="572" spans="16:16" x14ac:dyDescent="0.3">
      <c r="P572" s="180"/>
    </row>
    <row r="573" spans="16:16" x14ac:dyDescent="0.3">
      <c r="P573" s="180"/>
    </row>
    <row r="574" spans="16:16" x14ac:dyDescent="0.3">
      <c r="P574" s="180"/>
    </row>
    <row r="575" spans="16:16" x14ac:dyDescent="0.3">
      <c r="P575" s="180"/>
    </row>
    <row r="576" spans="16:16" x14ac:dyDescent="0.3">
      <c r="P576" s="180"/>
    </row>
    <row r="577" spans="16:16" x14ac:dyDescent="0.3">
      <c r="P577" s="180"/>
    </row>
    <row r="578" spans="16:16" x14ac:dyDescent="0.3">
      <c r="P578" s="180"/>
    </row>
    <row r="579" spans="16:16" x14ac:dyDescent="0.3">
      <c r="P579" s="180"/>
    </row>
    <row r="580" spans="16:16" x14ac:dyDescent="0.3">
      <c r="P580" s="180"/>
    </row>
    <row r="581" spans="16:16" x14ac:dyDescent="0.3">
      <c r="P581" s="180"/>
    </row>
    <row r="582" spans="16:16" x14ac:dyDescent="0.3">
      <c r="P582" s="180"/>
    </row>
    <row r="583" spans="16:16" x14ac:dyDescent="0.3">
      <c r="P583" s="180"/>
    </row>
    <row r="584" spans="16:16" x14ac:dyDescent="0.3">
      <c r="P584" s="180"/>
    </row>
    <row r="585" spans="16:16" x14ac:dyDescent="0.3">
      <c r="P585" s="180"/>
    </row>
    <row r="586" spans="16:16" x14ac:dyDescent="0.3">
      <c r="P586" s="180"/>
    </row>
    <row r="587" spans="16:16" x14ac:dyDescent="0.3">
      <c r="P587" s="180"/>
    </row>
    <row r="588" spans="16:16" x14ac:dyDescent="0.3">
      <c r="P588" s="180"/>
    </row>
    <row r="589" spans="16:16" x14ac:dyDescent="0.3">
      <c r="P589" s="180"/>
    </row>
    <row r="590" spans="16:16" x14ac:dyDescent="0.3">
      <c r="P590" s="180"/>
    </row>
    <row r="591" spans="16:16" x14ac:dyDescent="0.3">
      <c r="P591" s="180"/>
    </row>
    <row r="592" spans="16:16" x14ac:dyDescent="0.3">
      <c r="P592" s="180"/>
    </row>
    <row r="593" spans="16:16" x14ac:dyDescent="0.3">
      <c r="P593" s="180"/>
    </row>
    <row r="594" spans="16:16" x14ac:dyDescent="0.3">
      <c r="P594" s="180"/>
    </row>
    <row r="595" spans="16:16" x14ac:dyDescent="0.3">
      <c r="P595" s="180"/>
    </row>
    <row r="596" spans="16:16" x14ac:dyDescent="0.3">
      <c r="P596" s="180"/>
    </row>
    <row r="597" spans="16:16" x14ac:dyDescent="0.3">
      <c r="P597" s="180"/>
    </row>
    <row r="598" spans="16:16" x14ac:dyDescent="0.3">
      <c r="P598" s="180"/>
    </row>
    <row r="599" spans="16:16" x14ac:dyDescent="0.3">
      <c r="P599" s="180"/>
    </row>
    <row r="600" spans="16:16" x14ac:dyDescent="0.3">
      <c r="P600" s="180"/>
    </row>
    <row r="601" spans="16:16" x14ac:dyDescent="0.3">
      <c r="P601" s="180"/>
    </row>
    <row r="602" spans="16:16" x14ac:dyDescent="0.3">
      <c r="P602" s="180"/>
    </row>
    <row r="603" spans="16:16" x14ac:dyDescent="0.3">
      <c r="P603" s="180"/>
    </row>
    <row r="604" spans="16:16" x14ac:dyDescent="0.3">
      <c r="P604" s="180"/>
    </row>
    <row r="605" spans="16:16" x14ac:dyDescent="0.3">
      <c r="P605" s="180"/>
    </row>
    <row r="606" spans="16:16" x14ac:dyDescent="0.3">
      <c r="P606" s="180"/>
    </row>
    <row r="607" spans="16:16" x14ac:dyDescent="0.3">
      <c r="P607" s="180"/>
    </row>
    <row r="608" spans="16:16" x14ac:dyDescent="0.3">
      <c r="P608" s="180"/>
    </row>
    <row r="609" spans="16:16" x14ac:dyDescent="0.3">
      <c r="P609" s="180"/>
    </row>
    <row r="610" spans="16:16" x14ac:dyDescent="0.3">
      <c r="P610" s="180"/>
    </row>
    <row r="611" spans="16:16" x14ac:dyDescent="0.3">
      <c r="P611" s="180"/>
    </row>
    <row r="612" spans="16:16" x14ac:dyDescent="0.3">
      <c r="P612" s="180"/>
    </row>
    <row r="613" spans="16:16" x14ac:dyDescent="0.3">
      <c r="P613" s="180"/>
    </row>
    <row r="614" spans="16:16" x14ac:dyDescent="0.3">
      <c r="P614" s="180"/>
    </row>
    <row r="615" spans="16:16" x14ac:dyDescent="0.3">
      <c r="P615" s="180"/>
    </row>
    <row r="616" spans="16:16" x14ac:dyDescent="0.3">
      <c r="P616" s="180"/>
    </row>
    <row r="617" spans="16:16" x14ac:dyDescent="0.3">
      <c r="P617" s="180"/>
    </row>
    <row r="618" spans="16:16" x14ac:dyDescent="0.3">
      <c r="P618" s="180"/>
    </row>
    <row r="619" spans="16:16" x14ac:dyDescent="0.3">
      <c r="P619" s="180"/>
    </row>
    <row r="620" spans="16:16" x14ac:dyDescent="0.3">
      <c r="P620" s="180"/>
    </row>
    <row r="621" spans="16:16" x14ac:dyDescent="0.3">
      <c r="P621" s="180"/>
    </row>
    <row r="622" spans="16:16" x14ac:dyDescent="0.3">
      <c r="P622" s="180"/>
    </row>
    <row r="623" spans="16:16" x14ac:dyDescent="0.3">
      <c r="P623" s="180"/>
    </row>
    <row r="624" spans="16:16" x14ac:dyDescent="0.3">
      <c r="P624" s="180"/>
    </row>
    <row r="625" spans="16:16" x14ac:dyDescent="0.3">
      <c r="P625" s="180"/>
    </row>
    <row r="626" spans="16:16" x14ac:dyDescent="0.3">
      <c r="P626" s="180"/>
    </row>
    <row r="627" spans="16:16" x14ac:dyDescent="0.3">
      <c r="P627" s="180"/>
    </row>
    <row r="628" spans="16:16" x14ac:dyDescent="0.3">
      <c r="P628" s="180"/>
    </row>
    <row r="629" spans="16:16" x14ac:dyDescent="0.3">
      <c r="P629" s="180"/>
    </row>
    <row r="630" spans="16:16" x14ac:dyDescent="0.3">
      <c r="P630" s="180"/>
    </row>
    <row r="631" spans="16:16" x14ac:dyDescent="0.3">
      <c r="P631" s="180"/>
    </row>
    <row r="632" spans="16:16" x14ac:dyDescent="0.3">
      <c r="P632" s="180"/>
    </row>
    <row r="633" spans="16:16" x14ac:dyDescent="0.3">
      <c r="P633" s="180"/>
    </row>
    <row r="634" spans="16:16" x14ac:dyDescent="0.3">
      <c r="P634" s="180"/>
    </row>
    <row r="635" spans="16:16" x14ac:dyDescent="0.3">
      <c r="P635" s="180"/>
    </row>
    <row r="636" spans="16:16" x14ac:dyDescent="0.3">
      <c r="P636" s="180"/>
    </row>
    <row r="637" spans="16:16" x14ac:dyDescent="0.3">
      <c r="P637" s="180"/>
    </row>
    <row r="638" spans="16:16" x14ac:dyDescent="0.3">
      <c r="P638" s="180"/>
    </row>
    <row r="639" spans="16:16" x14ac:dyDescent="0.3">
      <c r="P639" s="180"/>
    </row>
    <row r="640" spans="16:16" x14ac:dyDescent="0.3">
      <c r="P640" s="180"/>
    </row>
    <row r="641" spans="16:16" x14ac:dyDescent="0.3">
      <c r="P641" s="180"/>
    </row>
    <row r="642" spans="16:16" x14ac:dyDescent="0.3">
      <c r="P642" s="180"/>
    </row>
    <row r="643" spans="16:16" x14ac:dyDescent="0.3">
      <c r="P643" s="180"/>
    </row>
    <row r="644" spans="16:16" x14ac:dyDescent="0.3">
      <c r="P644" s="180"/>
    </row>
    <row r="645" spans="16:16" x14ac:dyDescent="0.3">
      <c r="P645" s="180"/>
    </row>
    <row r="646" spans="16:16" x14ac:dyDescent="0.3">
      <c r="P646" s="180"/>
    </row>
    <row r="647" spans="16:16" x14ac:dyDescent="0.3">
      <c r="P647" s="180"/>
    </row>
    <row r="648" spans="16:16" x14ac:dyDescent="0.3">
      <c r="P648" s="180"/>
    </row>
    <row r="649" spans="16:16" x14ac:dyDescent="0.3">
      <c r="P649" s="180"/>
    </row>
    <row r="650" spans="16:16" x14ac:dyDescent="0.3">
      <c r="P650" s="180"/>
    </row>
    <row r="651" spans="16:16" x14ac:dyDescent="0.3">
      <c r="P651" s="180"/>
    </row>
    <row r="652" spans="16:16" x14ac:dyDescent="0.3">
      <c r="P652" s="180"/>
    </row>
    <row r="653" spans="16:16" x14ac:dyDescent="0.3">
      <c r="P653" s="180"/>
    </row>
    <row r="654" spans="16:16" x14ac:dyDescent="0.3">
      <c r="P654" s="180"/>
    </row>
    <row r="655" spans="16:16" x14ac:dyDescent="0.3">
      <c r="P655" s="180"/>
    </row>
    <row r="656" spans="16:16" x14ac:dyDescent="0.3">
      <c r="P656" s="180"/>
    </row>
    <row r="657" spans="16:16" x14ac:dyDescent="0.3">
      <c r="P657" s="180"/>
    </row>
    <row r="658" spans="16:16" x14ac:dyDescent="0.3">
      <c r="P658" s="180"/>
    </row>
    <row r="659" spans="16:16" x14ac:dyDescent="0.3">
      <c r="P659" s="180"/>
    </row>
    <row r="660" spans="16:16" x14ac:dyDescent="0.3">
      <c r="P660" s="180"/>
    </row>
    <row r="661" spans="16:16" x14ac:dyDescent="0.3">
      <c r="P661" s="180"/>
    </row>
    <row r="662" spans="16:16" x14ac:dyDescent="0.3">
      <c r="P662" s="180"/>
    </row>
    <row r="663" spans="16:16" x14ac:dyDescent="0.3">
      <c r="P663" s="180"/>
    </row>
    <row r="664" spans="16:16" x14ac:dyDescent="0.3">
      <c r="P664" s="180"/>
    </row>
    <row r="665" spans="16:16" x14ac:dyDescent="0.3">
      <c r="P665" s="180"/>
    </row>
    <row r="666" spans="16:16" x14ac:dyDescent="0.3">
      <c r="P666" s="180"/>
    </row>
    <row r="667" spans="16:16" x14ac:dyDescent="0.3">
      <c r="P667" s="180"/>
    </row>
    <row r="668" spans="16:16" x14ac:dyDescent="0.3">
      <c r="P668" s="180"/>
    </row>
    <row r="669" spans="16:16" x14ac:dyDescent="0.3">
      <c r="P669" s="180"/>
    </row>
    <row r="670" spans="16:16" x14ac:dyDescent="0.3">
      <c r="P670" s="180"/>
    </row>
    <row r="671" spans="16:16" x14ac:dyDescent="0.3">
      <c r="P671" s="180"/>
    </row>
    <row r="672" spans="16:16" x14ac:dyDescent="0.3">
      <c r="P672" s="180"/>
    </row>
    <row r="673" spans="16:16" x14ac:dyDescent="0.3">
      <c r="P673" s="180"/>
    </row>
    <row r="674" spans="16:16" x14ac:dyDescent="0.3">
      <c r="P674" s="180"/>
    </row>
    <row r="675" spans="16:16" x14ac:dyDescent="0.3">
      <c r="P675" s="180"/>
    </row>
    <row r="676" spans="16:16" x14ac:dyDescent="0.3">
      <c r="P676" s="180"/>
    </row>
    <row r="677" spans="16:16" x14ac:dyDescent="0.3">
      <c r="P677" s="180"/>
    </row>
    <row r="678" spans="16:16" x14ac:dyDescent="0.3">
      <c r="P678" s="180"/>
    </row>
    <row r="679" spans="16:16" x14ac:dyDescent="0.3">
      <c r="P679" s="180"/>
    </row>
    <row r="680" spans="16:16" x14ac:dyDescent="0.3">
      <c r="P680" s="180"/>
    </row>
    <row r="681" spans="16:16" x14ac:dyDescent="0.3">
      <c r="P681" s="180"/>
    </row>
    <row r="682" spans="16:16" x14ac:dyDescent="0.3">
      <c r="P682" s="180"/>
    </row>
    <row r="683" spans="16:16" x14ac:dyDescent="0.3">
      <c r="P683" s="180"/>
    </row>
    <row r="684" spans="16:16" x14ac:dyDescent="0.3">
      <c r="P684" s="180"/>
    </row>
    <row r="685" spans="16:16" x14ac:dyDescent="0.3">
      <c r="P685" s="180"/>
    </row>
    <row r="686" spans="16:16" x14ac:dyDescent="0.3">
      <c r="P686" s="180"/>
    </row>
    <row r="687" spans="16:16" x14ac:dyDescent="0.3">
      <c r="P687" s="180"/>
    </row>
    <row r="688" spans="16:16" x14ac:dyDescent="0.3">
      <c r="P688" s="180"/>
    </row>
    <row r="689" spans="16:16" x14ac:dyDescent="0.3">
      <c r="P689" s="180"/>
    </row>
    <row r="690" spans="16:16" x14ac:dyDescent="0.3">
      <c r="P690" s="180"/>
    </row>
    <row r="691" spans="16:16" x14ac:dyDescent="0.3">
      <c r="P691" s="180"/>
    </row>
    <row r="692" spans="16:16" x14ac:dyDescent="0.3">
      <c r="P692" s="180"/>
    </row>
    <row r="693" spans="16:16" x14ac:dyDescent="0.3">
      <c r="P693" s="180"/>
    </row>
    <row r="694" spans="16:16" x14ac:dyDescent="0.3">
      <c r="P694" s="180"/>
    </row>
    <row r="695" spans="16:16" x14ac:dyDescent="0.3">
      <c r="P695" s="180"/>
    </row>
    <row r="696" spans="16:16" x14ac:dyDescent="0.3">
      <c r="P696" s="180"/>
    </row>
    <row r="697" spans="16:16" x14ac:dyDescent="0.3">
      <c r="P697" s="180"/>
    </row>
    <row r="698" spans="16:16" x14ac:dyDescent="0.3">
      <c r="P698" s="180"/>
    </row>
    <row r="699" spans="16:16" x14ac:dyDescent="0.3">
      <c r="P699" s="180"/>
    </row>
    <row r="700" spans="16:16" x14ac:dyDescent="0.3">
      <c r="P700" s="180"/>
    </row>
    <row r="701" spans="16:16" x14ac:dyDescent="0.3">
      <c r="P701" s="180"/>
    </row>
    <row r="702" spans="16:16" x14ac:dyDescent="0.3">
      <c r="P702" s="180"/>
    </row>
    <row r="703" spans="16:16" x14ac:dyDescent="0.3">
      <c r="P703" s="180"/>
    </row>
    <row r="704" spans="16:16" x14ac:dyDescent="0.3">
      <c r="P704" s="180"/>
    </row>
    <row r="705" spans="16:16" x14ac:dyDescent="0.3">
      <c r="P705" s="180"/>
    </row>
    <row r="706" spans="16:16" x14ac:dyDescent="0.3">
      <c r="P706" s="180"/>
    </row>
    <row r="707" spans="16:16" x14ac:dyDescent="0.3">
      <c r="P707" s="180"/>
    </row>
    <row r="708" spans="16:16" x14ac:dyDescent="0.3">
      <c r="P708" s="180"/>
    </row>
    <row r="709" spans="16:16" x14ac:dyDescent="0.3">
      <c r="P709" s="180"/>
    </row>
    <row r="710" spans="16:16" x14ac:dyDescent="0.3">
      <c r="P710" s="180"/>
    </row>
    <row r="711" spans="16:16" x14ac:dyDescent="0.3">
      <c r="P711" s="180"/>
    </row>
    <row r="712" spans="16:16" x14ac:dyDescent="0.3">
      <c r="P712" s="180"/>
    </row>
    <row r="713" spans="16:16" x14ac:dyDescent="0.3">
      <c r="P713" s="180"/>
    </row>
    <row r="714" spans="16:16" x14ac:dyDescent="0.3">
      <c r="P714" s="180"/>
    </row>
    <row r="715" spans="16:16" x14ac:dyDescent="0.3">
      <c r="P715" s="180"/>
    </row>
    <row r="716" spans="16:16" x14ac:dyDescent="0.3">
      <c r="P716" s="180"/>
    </row>
    <row r="717" spans="16:16" x14ac:dyDescent="0.3">
      <c r="P717" s="180"/>
    </row>
    <row r="718" spans="16:16" x14ac:dyDescent="0.3">
      <c r="P718" s="180"/>
    </row>
    <row r="719" spans="16:16" x14ac:dyDescent="0.3">
      <c r="P719" s="180"/>
    </row>
    <row r="720" spans="16:16" x14ac:dyDescent="0.3">
      <c r="P720" s="180"/>
    </row>
    <row r="721" spans="16:16" x14ac:dyDescent="0.3">
      <c r="P721" s="180"/>
    </row>
    <row r="722" spans="16:16" x14ac:dyDescent="0.3">
      <c r="P722" s="180"/>
    </row>
    <row r="723" spans="16:16" x14ac:dyDescent="0.3">
      <c r="P723" s="180"/>
    </row>
    <row r="724" spans="16:16" x14ac:dyDescent="0.3">
      <c r="P724" s="180"/>
    </row>
    <row r="725" spans="16:16" x14ac:dyDescent="0.3">
      <c r="P725" s="180"/>
    </row>
    <row r="726" spans="16:16" x14ac:dyDescent="0.3">
      <c r="P726" s="180"/>
    </row>
    <row r="727" spans="16:16" x14ac:dyDescent="0.3">
      <c r="P727" s="180"/>
    </row>
    <row r="728" spans="16:16" x14ac:dyDescent="0.3">
      <c r="P728" s="180"/>
    </row>
    <row r="729" spans="16:16" x14ac:dyDescent="0.3">
      <c r="P729" s="180"/>
    </row>
    <row r="730" spans="16:16" x14ac:dyDescent="0.3">
      <c r="P730" s="180"/>
    </row>
    <row r="731" spans="16:16" x14ac:dyDescent="0.3">
      <c r="P731" s="180"/>
    </row>
    <row r="732" spans="16:16" x14ac:dyDescent="0.3">
      <c r="P732" s="180"/>
    </row>
    <row r="733" spans="16:16" x14ac:dyDescent="0.3">
      <c r="P733" s="180"/>
    </row>
    <row r="734" spans="16:16" x14ac:dyDescent="0.3">
      <c r="P734" s="180"/>
    </row>
    <row r="735" spans="16:16" x14ac:dyDescent="0.3">
      <c r="P735" s="180"/>
    </row>
    <row r="736" spans="16:16" x14ac:dyDescent="0.3">
      <c r="P736" s="180"/>
    </row>
    <row r="737" spans="16:16" x14ac:dyDescent="0.3">
      <c r="P737" s="180"/>
    </row>
    <row r="738" spans="16:16" x14ac:dyDescent="0.3">
      <c r="P738" s="180"/>
    </row>
    <row r="739" spans="16:16" x14ac:dyDescent="0.3">
      <c r="P739" s="180"/>
    </row>
    <row r="740" spans="16:16" x14ac:dyDescent="0.3">
      <c r="P740" s="180"/>
    </row>
    <row r="741" spans="16:16" x14ac:dyDescent="0.3">
      <c r="P741" s="180"/>
    </row>
    <row r="742" spans="16:16" x14ac:dyDescent="0.3">
      <c r="P742" s="180"/>
    </row>
    <row r="743" spans="16:16" x14ac:dyDescent="0.3">
      <c r="P743" s="180"/>
    </row>
    <row r="744" spans="16:16" x14ac:dyDescent="0.3">
      <c r="P744" s="180"/>
    </row>
    <row r="745" spans="16:16" x14ac:dyDescent="0.3">
      <c r="P745" s="180"/>
    </row>
    <row r="746" spans="16:16" x14ac:dyDescent="0.3">
      <c r="P746" s="180"/>
    </row>
    <row r="747" spans="16:16" x14ac:dyDescent="0.3">
      <c r="P747" s="180"/>
    </row>
    <row r="748" spans="16:16" x14ac:dyDescent="0.3">
      <c r="P748" s="180"/>
    </row>
    <row r="749" spans="16:16" x14ac:dyDescent="0.3">
      <c r="P749" s="180"/>
    </row>
    <row r="750" spans="16:16" x14ac:dyDescent="0.3">
      <c r="P750" s="180"/>
    </row>
    <row r="751" spans="16:16" x14ac:dyDescent="0.3">
      <c r="P751" s="180"/>
    </row>
    <row r="752" spans="16:16" x14ac:dyDescent="0.3">
      <c r="P752" s="180"/>
    </row>
    <row r="753" spans="16:16" x14ac:dyDescent="0.3">
      <c r="P753" s="180"/>
    </row>
    <row r="754" spans="16:16" x14ac:dyDescent="0.3">
      <c r="P754" s="180"/>
    </row>
    <row r="755" spans="16:16" x14ac:dyDescent="0.3">
      <c r="P755" s="180"/>
    </row>
    <row r="756" spans="16:16" x14ac:dyDescent="0.3">
      <c r="P756" s="180"/>
    </row>
    <row r="757" spans="16:16" x14ac:dyDescent="0.3">
      <c r="P757" s="180"/>
    </row>
    <row r="758" spans="16:16" x14ac:dyDescent="0.3">
      <c r="P758" s="180"/>
    </row>
    <row r="759" spans="16:16" x14ac:dyDescent="0.3">
      <c r="P759" s="180"/>
    </row>
    <row r="760" spans="16:16" x14ac:dyDescent="0.3">
      <c r="P760" s="180"/>
    </row>
    <row r="761" spans="16:16" x14ac:dyDescent="0.3">
      <c r="P761" s="180"/>
    </row>
    <row r="762" spans="16:16" x14ac:dyDescent="0.3">
      <c r="P762" s="180"/>
    </row>
    <row r="763" spans="16:16" x14ac:dyDescent="0.3">
      <c r="P763" s="180"/>
    </row>
    <row r="764" spans="16:16" x14ac:dyDescent="0.3">
      <c r="P764" s="180"/>
    </row>
    <row r="765" spans="16:16" x14ac:dyDescent="0.3">
      <c r="P765" s="180"/>
    </row>
    <row r="766" spans="16:16" x14ac:dyDescent="0.3">
      <c r="P766" s="180"/>
    </row>
    <row r="767" spans="16:16" x14ac:dyDescent="0.3">
      <c r="P767" s="180"/>
    </row>
    <row r="768" spans="16:16" x14ac:dyDescent="0.3">
      <c r="P768" s="180"/>
    </row>
    <row r="769" spans="16:16" x14ac:dyDescent="0.3">
      <c r="P769" s="180"/>
    </row>
    <row r="770" spans="16:16" x14ac:dyDescent="0.3">
      <c r="P770" s="180"/>
    </row>
    <row r="771" spans="16:16" x14ac:dyDescent="0.3">
      <c r="P771" s="180"/>
    </row>
    <row r="772" spans="16:16" x14ac:dyDescent="0.3">
      <c r="P772" s="180"/>
    </row>
    <row r="773" spans="16:16" x14ac:dyDescent="0.3">
      <c r="P773" s="180"/>
    </row>
    <row r="774" spans="16:16" x14ac:dyDescent="0.3">
      <c r="P774" s="180"/>
    </row>
    <row r="775" spans="16:16" x14ac:dyDescent="0.3">
      <c r="P775" s="180"/>
    </row>
    <row r="776" spans="16:16" x14ac:dyDescent="0.3">
      <c r="P776" s="180"/>
    </row>
    <row r="777" spans="16:16" x14ac:dyDescent="0.3">
      <c r="P777" s="180"/>
    </row>
    <row r="778" spans="16:16" x14ac:dyDescent="0.3">
      <c r="P778" s="180"/>
    </row>
    <row r="779" spans="16:16" x14ac:dyDescent="0.3">
      <c r="P779" s="180"/>
    </row>
    <row r="780" spans="16:16" x14ac:dyDescent="0.3">
      <c r="P780" s="180"/>
    </row>
    <row r="781" spans="16:16" x14ac:dyDescent="0.3">
      <c r="P781" s="180"/>
    </row>
    <row r="782" spans="16:16" x14ac:dyDescent="0.3">
      <c r="P782" s="180"/>
    </row>
    <row r="783" spans="16:16" x14ac:dyDescent="0.3">
      <c r="P783" s="180"/>
    </row>
    <row r="784" spans="16:16" x14ac:dyDescent="0.3">
      <c r="P784" s="180"/>
    </row>
    <row r="785" spans="16:16" x14ac:dyDescent="0.3">
      <c r="P785" s="180"/>
    </row>
    <row r="786" spans="16:16" x14ac:dyDescent="0.3">
      <c r="P786" s="180"/>
    </row>
    <row r="787" spans="16:16" x14ac:dyDescent="0.3">
      <c r="P787" s="180"/>
    </row>
    <row r="788" spans="16:16" x14ac:dyDescent="0.3">
      <c r="P788" s="180"/>
    </row>
    <row r="789" spans="16:16" x14ac:dyDescent="0.3">
      <c r="P789" s="180"/>
    </row>
    <row r="790" spans="16:16" x14ac:dyDescent="0.3">
      <c r="P790" s="180"/>
    </row>
    <row r="791" spans="16:16" x14ac:dyDescent="0.3">
      <c r="P791" s="180"/>
    </row>
    <row r="792" spans="16:16" x14ac:dyDescent="0.3">
      <c r="P792" s="180"/>
    </row>
    <row r="793" spans="16:16" x14ac:dyDescent="0.3">
      <c r="P793" s="180"/>
    </row>
    <row r="794" spans="16:16" x14ac:dyDescent="0.3">
      <c r="P794" s="180"/>
    </row>
    <row r="795" spans="16:16" x14ac:dyDescent="0.3">
      <c r="P795" s="180"/>
    </row>
    <row r="796" spans="16:16" x14ac:dyDescent="0.3">
      <c r="P796" s="180"/>
    </row>
    <row r="797" spans="16:16" x14ac:dyDescent="0.3">
      <c r="P797" s="180"/>
    </row>
    <row r="798" spans="16:16" x14ac:dyDescent="0.3">
      <c r="P798" s="180"/>
    </row>
    <row r="799" spans="16:16" x14ac:dyDescent="0.3">
      <c r="P799" s="180"/>
    </row>
    <row r="800" spans="16:16" x14ac:dyDescent="0.3">
      <c r="P800" s="180"/>
    </row>
    <row r="801" spans="16:16" x14ac:dyDescent="0.3">
      <c r="P801" s="180"/>
    </row>
    <row r="802" spans="16:16" x14ac:dyDescent="0.3">
      <c r="P802" s="180"/>
    </row>
    <row r="803" spans="16:16" x14ac:dyDescent="0.3">
      <c r="P803" s="180"/>
    </row>
    <row r="804" spans="16:16" x14ac:dyDescent="0.3">
      <c r="P804" s="180"/>
    </row>
    <row r="805" spans="16:16" x14ac:dyDescent="0.3">
      <c r="P805" s="180"/>
    </row>
    <row r="806" spans="16:16" x14ac:dyDescent="0.3">
      <c r="P806" s="180"/>
    </row>
    <row r="807" spans="16:16" x14ac:dyDescent="0.3">
      <c r="P807" s="180"/>
    </row>
    <row r="808" spans="16:16" x14ac:dyDescent="0.3">
      <c r="P808" s="180"/>
    </row>
    <row r="809" spans="16:16" x14ac:dyDescent="0.3">
      <c r="P809" s="180"/>
    </row>
    <row r="810" spans="16:16" x14ac:dyDescent="0.3">
      <c r="P810" s="180"/>
    </row>
    <row r="811" spans="16:16" x14ac:dyDescent="0.3">
      <c r="P811" s="180"/>
    </row>
    <row r="812" spans="16:16" x14ac:dyDescent="0.3">
      <c r="P812" s="180"/>
    </row>
    <row r="813" spans="16:16" x14ac:dyDescent="0.3">
      <c r="P813" s="180"/>
    </row>
    <row r="814" spans="16:16" x14ac:dyDescent="0.3">
      <c r="P814" s="180"/>
    </row>
    <row r="815" spans="16:16" x14ac:dyDescent="0.3">
      <c r="P815" s="180"/>
    </row>
    <row r="816" spans="16:16" x14ac:dyDescent="0.3">
      <c r="P816" s="180"/>
    </row>
    <row r="817" spans="16:16" x14ac:dyDescent="0.3">
      <c r="P817" s="180"/>
    </row>
    <row r="818" spans="16:16" x14ac:dyDescent="0.3">
      <c r="P818" s="180"/>
    </row>
    <row r="819" spans="16:16" x14ac:dyDescent="0.3">
      <c r="P819" s="180"/>
    </row>
    <row r="820" spans="16:16" x14ac:dyDescent="0.3">
      <c r="P820" s="180"/>
    </row>
    <row r="821" spans="16:16" x14ac:dyDescent="0.3">
      <c r="P821" s="180"/>
    </row>
    <row r="822" spans="16:16" x14ac:dyDescent="0.3">
      <c r="P822" s="180"/>
    </row>
    <row r="823" spans="16:16" x14ac:dyDescent="0.3">
      <c r="P823" s="180"/>
    </row>
    <row r="824" spans="16:16" x14ac:dyDescent="0.3">
      <c r="P824" s="180"/>
    </row>
    <row r="825" spans="16:16" x14ac:dyDescent="0.3">
      <c r="P825" s="180"/>
    </row>
    <row r="826" spans="16:16" x14ac:dyDescent="0.3">
      <c r="P826" s="180"/>
    </row>
    <row r="827" spans="16:16" x14ac:dyDescent="0.3">
      <c r="P827" s="180"/>
    </row>
    <row r="828" spans="16:16" x14ac:dyDescent="0.3">
      <c r="P828" s="180"/>
    </row>
    <row r="829" spans="16:16" x14ac:dyDescent="0.3">
      <c r="P829" s="180"/>
    </row>
    <row r="830" spans="16:16" x14ac:dyDescent="0.3">
      <c r="P830" s="180"/>
    </row>
    <row r="831" spans="16:16" x14ac:dyDescent="0.3">
      <c r="P831" s="180"/>
    </row>
    <row r="832" spans="16:16" x14ac:dyDescent="0.3">
      <c r="P832" s="180"/>
    </row>
    <row r="833" spans="16:16" x14ac:dyDescent="0.3">
      <c r="P833" s="180"/>
    </row>
    <row r="834" spans="16:16" x14ac:dyDescent="0.3">
      <c r="P834" s="180"/>
    </row>
    <row r="835" spans="16:16" x14ac:dyDescent="0.3">
      <c r="P835" s="180"/>
    </row>
    <row r="836" spans="16:16" x14ac:dyDescent="0.3">
      <c r="P836" s="180"/>
    </row>
    <row r="837" spans="16:16" x14ac:dyDescent="0.3">
      <c r="P837" s="180"/>
    </row>
    <row r="838" spans="16:16" x14ac:dyDescent="0.3">
      <c r="P838" s="180"/>
    </row>
    <row r="839" spans="16:16" x14ac:dyDescent="0.3">
      <c r="P839" s="180"/>
    </row>
    <row r="840" spans="16:16" x14ac:dyDescent="0.3">
      <c r="P840" s="180"/>
    </row>
    <row r="841" spans="16:16" x14ac:dyDescent="0.3">
      <c r="P841" s="180"/>
    </row>
    <row r="842" spans="16:16" x14ac:dyDescent="0.3">
      <c r="P842" s="180"/>
    </row>
    <row r="843" spans="16:16" x14ac:dyDescent="0.3">
      <c r="P843" s="180"/>
    </row>
    <row r="844" spans="16:16" x14ac:dyDescent="0.3">
      <c r="P844" s="180"/>
    </row>
    <row r="845" spans="16:16" x14ac:dyDescent="0.3">
      <c r="P845" s="180"/>
    </row>
    <row r="846" spans="16:16" x14ac:dyDescent="0.3">
      <c r="P846" s="180"/>
    </row>
    <row r="847" spans="16:16" x14ac:dyDescent="0.3">
      <c r="P847" s="180"/>
    </row>
    <row r="848" spans="16:16" x14ac:dyDescent="0.3">
      <c r="P848" s="180"/>
    </row>
    <row r="849" spans="16:16" x14ac:dyDescent="0.3">
      <c r="P849" s="180"/>
    </row>
    <row r="850" spans="16:16" x14ac:dyDescent="0.3">
      <c r="P850" s="180"/>
    </row>
    <row r="851" spans="16:16" x14ac:dyDescent="0.3">
      <c r="P851" s="180"/>
    </row>
    <row r="852" spans="16:16" x14ac:dyDescent="0.3">
      <c r="P852" s="180"/>
    </row>
    <row r="853" spans="16:16" x14ac:dyDescent="0.3">
      <c r="P853" s="180"/>
    </row>
    <row r="854" spans="16:16" x14ac:dyDescent="0.3">
      <c r="P854" s="180"/>
    </row>
    <row r="855" spans="16:16" x14ac:dyDescent="0.3">
      <c r="P855" s="180"/>
    </row>
    <row r="856" spans="16:16" x14ac:dyDescent="0.3">
      <c r="P856" s="180"/>
    </row>
    <row r="857" spans="16:16" x14ac:dyDescent="0.3">
      <c r="P857" s="180"/>
    </row>
    <row r="858" spans="16:16" x14ac:dyDescent="0.3">
      <c r="P858" s="180"/>
    </row>
    <row r="859" spans="16:16" x14ac:dyDescent="0.3">
      <c r="P859" s="180"/>
    </row>
    <row r="860" spans="16:16" x14ac:dyDescent="0.3">
      <c r="P860" s="180"/>
    </row>
    <row r="861" spans="16:16" x14ac:dyDescent="0.3">
      <c r="P861" s="180"/>
    </row>
    <row r="862" spans="16:16" x14ac:dyDescent="0.3">
      <c r="P862" s="180"/>
    </row>
    <row r="863" spans="16:16" x14ac:dyDescent="0.3">
      <c r="P863" s="180"/>
    </row>
    <row r="864" spans="16:16" x14ac:dyDescent="0.3">
      <c r="P864" s="180"/>
    </row>
    <row r="865" spans="16:16" x14ac:dyDescent="0.3">
      <c r="P865" s="180"/>
    </row>
    <row r="866" spans="16:16" x14ac:dyDescent="0.3">
      <c r="P866" s="180"/>
    </row>
    <row r="867" spans="16:16" x14ac:dyDescent="0.3">
      <c r="P867" s="180"/>
    </row>
    <row r="868" spans="16:16" x14ac:dyDescent="0.3">
      <c r="P868" s="180"/>
    </row>
    <row r="869" spans="16:16" x14ac:dyDescent="0.3">
      <c r="P869" s="180"/>
    </row>
    <row r="870" spans="16:16" x14ac:dyDescent="0.3">
      <c r="P870" s="180"/>
    </row>
    <row r="871" spans="16:16" x14ac:dyDescent="0.3">
      <c r="P871" s="180"/>
    </row>
    <row r="872" spans="16:16" x14ac:dyDescent="0.3">
      <c r="P872" s="180"/>
    </row>
    <row r="873" spans="16:16" x14ac:dyDescent="0.3">
      <c r="P873" s="180"/>
    </row>
    <row r="874" spans="16:16" x14ac:dyDescent="0.3">
      <c r="P874" s="180"/>
    </row>
    <row r="875" spans="16:16" x14ac:dyDescent="0.3">
      <c r="P875" s="180"/>
    </row>
    <row r="876" spans="16:16" x14ac:dyDescent="0.3">
      <c r="P876" s="180"/>
    </row>
    <row r="877" spans="16:16" x14ac:dyDescent="0.3">
      <c r="P877" s="180"/>
    </row>
    <row r="878" spans="16:16" x14ac:dyDescent="0.3">
      <c r="P878" s="180"/>
    </row>
    <row r="879" spans="16:16" x14ac:dyDescent="0.3">
      <c r="P879" s="180"/>
    </row>
    <row r="880" spans="16:16" x14ac:dyDescent="0.3">
      <c r="P880" s="180"/>
    </row>
    <row r="881" spans="16:16" x14ac:dyDescent="0.3">
      <c r="P881" s="180"/>
    </row>
    <row r="882" spans="16:16" x14ac:dyDescent="0.3">
      <c r="P882" s="180"/>
    </row>
    <row r="883" spans="16:16" x14ac:dyDescent="0.3">
      <c r="P883" s="180"/>
    </row>
    <row r="884" spans="16:16" x14ac:dyDescent="0.3">
      <c r="P884" s="180"/>
    </row>
    <row r="885" spans="16:16" x14ac:dyDescent="0.3">
      <c r="P885" s="180"/>
    </row>
    <row r="886" spans="16:16" x14ac:dyDescent="0.3">
      <c r="P886" s="180"/>
    </row>
    <row r="887" spans="16:16" x14ac:dyDescent="0.3">
      <c r="P887" s="180"/>
    </row>
    <row r="888" spans="16:16" x14ac:dyDescent="0.3">
      <c r="P888" s="180"/>
    </row>
    <row r="889" spans="16:16" x14ac:dyDescent="0.3">
      <c r="P889" s="180"/>
    </row>
    <row r="890" spans="16:16" x14ac:dyDescent="0.3">
      <c r="P890" s="180"/>
    </row>
    <row r="891" spans="16:16" x14ac:dyDescent="0.3">
      <c r="P891" s="180"/>
    </row>
    <row r="892" spans="16:16" x14ac:dyDescent="0.3">
      <c r="P892" s="180"/>
    </row>
    <row r="893" spans="16:16" x14ac:dyDescent="0.3">
      <c r="P893" s="180"/>
    </row>
    <row r="894" spans="16:16" x14ac:dyDescent="0.3">
      <c r="P894" s="180"/>
    </row>
    <row r="895" spans="16:16" x14ac:dyDescent="0.3">
      <c r="P895" s="180"/>
    </row>
    <row r="896" spans="16:16" x14ac:dyDescent="0.3">
      <c r="P896" s="180"/>
    </row>
    <row r="897" spans="16:16" x14ac:dyDescent="0.3">
      <c r="P897" s="180"/>
    </row>
    <row r="898" spans="16:16" x14ac:dyDescent="0.3">
      <c r="P898" s="180"/>
    </row>
    <row r="899" spans="16:16" x14ac:dyDescent="0.3">
      <c r="P899" s="180"/>
    </row>
    <row r="900" spans="16:16" x14ac:dyDescent="0.3">
      <c r="P900" s="180"/>
    </row>
    <row r="901" spans="16:16" x14ac:dyDescent="0.3">
      <c r="P901" s="180"/>
    </row>
    <row r="902" spans="16:16" x14ac:dyDescent="0.3">
      <c r="P902" s="180"/>
    </row>
    <row r="903" spans="16:16" x14ac:dyDescent="0.3">
      <c r="P903" s="180"/>
    </row>
    <row r="904" spans="16:16" x14ac:dyDescent="0.3">
      <c r="P904" s="180"/>
    </row>
    <row r="905" spans="16:16" x14ac:dyDescent="0.3">
      <c r="P905" s="180"/>
    </row>
    <row r="906" spans="16:16" x14ac:dyDescent="0.3">
      <c r="P906" s="180"/>
    </row>
    <row r="907" spans="16:16" x14ac:dyDescent="0.3">
      <c r="P907" s="180"/>
    </row>
    <row r="908" spans="16:16" x14ac:dyDescent="0.3">
      <c r="P908" s="180"/>
    </row>
    <row r="909" spans="16:16" x14ac:dyDescent="0.3">
      <c r="P909" s="180"/>
    </row>
    <row r="910" spans="16:16" x14ac:dyDescent="0.3">
      <c r="P910" s="180"/>
    </row>
    <row r="911" spans="16:16" x14ac:dyDescent="0.3">
      <c r="P911" s="180"/>
    </row>
    <row r="912" spans="16:16" x14ac:dyDescent="0.3">
      <c r="P912" s="180"/>
    </row>
    <row r="913" spans="16:16" x14ac:dyDescent="0.3">
      <c r="P913" s="180"/>
    </row>
    <row r="914" spans="16:16" x14ac:dyDescent="0.3">
      <c r="P914" s="180"/>
    </row>
    <row r="915" spans="16:16" x14ac:dyDescent="0.3">
      <c r="P915" s="180"/>
    </row>
    <row r="916" spans="16:16" x14ac:dyDescent="0.3">
      <c r="P916" s="180"/>
    </row>
    <row r="917" spans="16:16" x14ac:dyDescent="0.3">
      <c r="P917" s="180"/>
    </row>
    <row r="918" spans="16:16" x14ac:dyDescent="0.3">
      <c r="P918" s="180"/>
    </row>
    <row r="919" spans="16:16" x14ac:dyDescent="0.3">
      <c r="P919" s="180"/>
    </row>
    <row r="920" spans="16:16" x14ac:dyDescent="0.3">
      <c r="P920" s="180"/>
    </row>
    <row r="921" spans="16:16" x14ac:dyDescent="0.3">
      <c r="P921" s="180"/>
    </row>
    <row r="922" spans="16:16" x14ac:dyDescent="0.3">
      <c r="P922" s="180"/>
    </row>
    <row r="923" spans="16:16" x14ac:dyDescent="0.3">
      <c r="P923" s="180"/>
    </row>
    <row r="924" spans="16:16" x14ac:dyDescent="0.3">
      <c r="P924" s="180"/>
    </row>
    <row r="925" spans="16:16" x14ac:dyDescent="0.3">
      <c r="P925" s="180"/>
    </row>
    <row r="926" spans="16:16" x14ac:dyDescent="0.3">
      <c r="P926" s="180"/>
    </row>
    <row r="927" spans="16:16" x14ac:dyDescent="0.3">
      <c r="P927" s="180"/>
    </row>
    <row r="928" spans="16:16" x14ac:dyDescent="0.3">
      <c r="P928" s="180"/>
    </row>
    <row r="929" spans="16:16" x14ac:dyDescent="0.3">
      <c r="P929" s="180"/>
    </row>
    <row r="930" spans="16:16" x14ac:dyDescent="0.3">
      <c r="P930" s="180"/>
    </row>
    <row r="931" spans="16:16" x14ac:dyDescent="0.3">
      <c r="P931" s="180"/>
    </row>
    <row r="932" spans="16:16" x14ac:dyDescent="0.3">
      <c r="P932" s="180"/>
    </row>
    <row r="933" spans="16:16" x14ac:dyDescent="0.3">
      <c r="P933" s="180"/>
    </row>
    <row r="934" spans="16:16" x14ac:dyDescent="0.3">
      <c r="P934" s="180"/>
    </row>
    <row r="935" spans="16:16" x14ac:dyDescent="0.3">
      <c r="P935" s="180"/>
    </row>
    <row r="936" spans="16:16" x14ac:dyDescent="0.3">
      <c r="P936" s="180"/>
    </row>
    <row r="937" spans="16:16" x14ac:dyDescent="0.3">
      <c r="P937" s="180"/>
    </row>
    <row r="938" spans="16:16" x14ac:dyDescent="0.3">
      <c r="P938" s="180"/>
    </row>
    <row r="939" spans="16:16" x14ac:dyDescent="0.3">
      <c r="P939" s="180"/>
    </row>
    <row r="940" spans="16:16" x14ac:dyDescent="0.3">
      <c r="P940" s="180"/>
    </row>
    <row r="941" spans="16:16" x14ac:dyDescent="0.3">
      <c r="P941" s="180"/>
    </row>
    <row r="942" spans="16:16" x14ac:dyDescent="0.3">
      <c r="P942" s="180"/>
    </row>
    <row r="943" spans="16:16" x14ac:dyDescent="0.3">
      <c r="P943" s="180"/>
    </row>
    <row r="944" spans="16:16" x14ac:dyDescent="0.3">
      <c r="P944" s="180"/>
    </row>
    <row r="945" spans="6:16" x14ac:dyDescent="0.3">
      <c r="P945" s="180"/>
    </row>
    <row r="946" spans="6:16" x14ac:dyDescent="0.3">
      <c r="P946" s="180"/>
    </row>
    <row r="947" spans="6:16" x14ac:dyDescent="0.3">
      <c r="P947" s="180"/>
    </row>
    <row r="948" spans="6:16" x14ac:dyDescent="0.3">
      <c r="P948" s="180"/>
    </row>
    <row r="949" spans="6:16" x14ac:dyDescent="0.3">
      <c r="P949" s="180"/>
    </row>
    <row r="951" spans="6:16" x14ac:dyDescent="0.3">
      <c r="F951" s="190"/>
    </row>
    <row r="952" spans="6:16" x14ac:dyDescent="0.3">
      <c r="F952" s="190"/>
    </row>
    <row r="953" spans="6:16" x14ac:dyDescent="0.3">
      <c r="F953" s="190"/>
    </row>
    <row r="954" spans="6:16" x14ac:dyDescent="0.3">
      <c r="F954" s="190"/>
      <c r="G954" s="192"/>
    </row>
    <row r="955" spans="6:16" x14ac:dyDescent="0.3">
      <c r="F955" s="190"/>
    </row>
    <row r="956" spans="6:16" x14ac:dyDescent="0.3">
      <c r="F956" s="190"/>
      <c r="G956" s="192"/>
    </row>
    <row r="957" spans="6:16" x14ac:dyDescent="0.3">
      <c r="F957" s="190"/>
    </row>
    <row r="958" spans="6:16" x14ac:dyDescent="0.3">
      <c r="F958" s="190"/>
    </row>
    <row r="959" spans="6:16" x14ac:dyDescent="0.3">
      <c r="F959" s="190"/>
    </row>
    <row r="960" spans="6:16" x14ac:dyDescent="0.3">
      <c r="F960" s="190"/>
    </row>
    <row r="961" spans="6:6" x14ac:dyDescent="0.3">
      <c r="F961" s="190"/>
    </row>
    <row r="962" spans="6:6" x14ac:dyDescent="0.3">
      <c r="F962" s="190"/>
    </row>
    <row r="963" spans="6:6" x14ac:dyDescent="0.3">
      <c r="F963" s="190"/>
    </row>
    <row r="964" spans="6:6" x14ac:dyDescent="0.3">
      <c r="F964" s="190"/>
    </row>
    <row r="965" spans="6:6" x14ac:dyDescent="0.3">
      <c r="F965" s="190"/>
    </row>
    <row r="966" spans="6:6" x14ac:dyDescent="0.3">
      <c r="F966" s="190"/>
    </row>
    <row r="967" spans="6:6" x14ac:dyDescent="0.3">
      <c r="F967" s="190"/>
    </row>
    <row r="968" spans="6:6" x14ac:dyDescent="0.3">
      <c r="F968" s="190"/>
    </row>
    <row r="969" spans="6:6" x14ac:dyDescent="0.3">
      <c r="F969" s="190"/>
    </row>
    <row r="970" spans="6:6" x14ac:dyDescent="0.3">
      <c r="F970" s="190"/>
    </row>
    <row r="971" spans="6:6" x14ac:dyDescent="0.3">
      <c r="F971" s="190"/>
    </row>
    <row r="972" spans="6:6" x14ac:dyDescent="0.3">
      <c r="F972" s="190"/>
    </row>
    <row r="973" spans="6:6" x14ac:dyDescent="0.3">
      <c r="F973" s="190"/>
    </row>
    <row r="974" spans="6:6" x14ac:dyDescent="0.3">
      <c r="F974" s="190"/>
    </row>
    <row r="975" spans="6:6" x14ac:dyDescent="0.3">
      <c r="F975" s="190"/>
    </row>
    <row r="976" spans="6:6" x14ac:dyDescent="0.3">
      <c r="F976" s="190"/>
    </row>
    <row r="977" spans="6:6" x14ac:dyDescent="0.3">
      <c r="F977" s="190"/>
    </row>
    <row r="978" spans="6:6" x14ac:dyDescent="0.3">
      <c r="F978" s="190"/>
    </row>
    <row r="979" spans="6:6" x14ac:dyDescent="0.3">
      <c r="F979" s="190"/>
    </row>
    <row r="980" spans="6:6" x14ac:dyDescent="0.3">
      <c r="F980" s="190"/>
    </row>
    <row r="981" spans="6:6" x14ac:dyDescent="0.3">
      <c r="F981" s="190"/>
    </row>
    <row r="982" spans="6:6" x14ac:dyDescent="0.3">
      <c r="F982" s="190"/>
    </row>
    <row r="983" spans="6:6" x14ac:dyDescent="0.3">
      <c r="F983" s="190"/>
    </row>
    <row r="984" spans="6:6" x14ac:dyDescent="0.3">
      <c r="F984" s="190"/>
    </row>
    <row r="985" spans="6:6" x14ac:dyDescent="0.3">
      <c r="F985" s="190"/>
    </row>
    <row r="986" spans="6:6" x14ac:dyDescent="0.3">
      <c r="F986" s="190"/>
    </row>
    <row r="987" spans="6:6" x14ac:dyDescent="0.3">
      <c r="F987" s="190"/>
    </row>
    <row r="988" spans="6:6" x14ac:dyDescent="0.3">
      <c r="F988" s="190"/>
    </row>
    <row r="989" spans="6:6" x14ac:dyDescent="0.3">
      <c r="F989" s="190"/>
    </row>
    <row r="990" spans="6:6" x14ac:dyDescent="0.3">
      <c r="F990" s="190"/>
    </row>
    <row r="991" spans="6:6" x14ac:dyDescent="0.3">
      <c r="F991" s="190"/>
    </row>
    <row r="992" spans="6:6" x14ac:dyDescent="0.3">
      <c r="F992" s="190"/>
    </row>
    <row r="993" spans="6:6" x14ac:dyDescent="0.3">
      <c r="F993" s="190"/>
    </row>
    <row r="994" spans="6:6" x14ac:dyDescent="0.3">
      <c r="F994" s="190"/>
    </row>
    <row r="995" spans="6:6" x14ac:dyDescent="0.3">
      <c r="F995" s="190"/>
    </row>
    <row r="996" spans="6:6" x14ac:dyDescent="0.3">
      <c r="F996" s="190"/>
    </row>
    <row r="997" spans="6:6" x14ac:dyDescent="0.3">
      <c r="F997" s="190"/>
    </row>
    <row r="998" spans="6:6" x14ac:dyDescent="0.3">
      <c r="F998" s="190"/>
    </row>
    <row r="999" spans="6:6" x14ac:dyDescent="0.3">
      <c r="F999" s="190"/>
    </row>
    <row r="1000" spans="6:6" x14ac:dyDescent="0.3">
      <c r="F1000" s="190"/>
    </row>
    <row r="1001" spans="6:6" x14ac:dyDescent="0.3">
      <c r="F1001" s="190"/>
    </row>
    <row r="1002" spans="6:6" x14ac:dyDescent="0.3">
      <c r="F1002" s="190"/>
    </row>
    <row r="1003" spans="6:6" x14ac:dyDescent="0.3">
      <c r="F1003" s="190"/>
    </row>
    <row r="1004" spans="6:6" x14ac:dyDescent="0.3">
      <c r="F1004" s="190"/>
    </row>
    <row r="1005" spans="6:6" x14ac:dyDescent="0.3">
      <c r="F1005" s="190"/>
    </row>
    <row r="1006" spans="6:6" x14ac:dyDescent="0.3">
      <c r="F1006" s="190"/>
    </row>
    <row r="1007" spans="6:6" x14ac:dyDescent="0.3">
      <c r="F1007" s="190"/>
    </row>
    <row r="1008" spans="6:6" x14ac:dyDescent="0.3">
      <c r="F1008" s="190"/>
    </row>
    <row r="1009" spans="6:6" x14ac:dyDescent="0.3">
      <c r="F1009" s="190"/>
    </row>
    <row r="1010" spans="6:6" x14ac:dyDescent="0.3">
      <c r="F1010" s="190"/>
    </row>
    <row r="1011" spans="6:6" x14ac:dyDescent="0.3">
      <c r="F1011" s="190"/>
    </row>
    <row r="1012" spans="6:6" x14ac:dyDescent="0.3">
      <c r="F1012" s="190"/>
    </row>
    <row r="1013" spans="6:6" x14ac:dyDescent="0.3">
      <c r="F1013" s="190"/>
    </row>
    <row r="1014" spans="6:6" x14ac:dyDescent="0.3">
      <c r="F1014" s="190"/>
    </row>
    <row r="1015" spans="6:6" x14ac:dyDescent="0.3">
      <c r="F1015" s="190"/>
    </row>
    <row r="1016" spans="6:6" x14ac:dyDescent="0.3">
      <c r="F1016" s="190"/>
    </row>
    <row r="1017" spans="6:6" x14ac:dyDescent="0.3">
      <c r="F1017" s="190"/>
    </row>
    <row r="1018" spans="6:6" x14ac:dyDescent="0.3">
      <c r="F1018" s="190"/>
    </row>
    <row r="1019" spans="6:6" x14ac:dyDescent="0.3">
      <c r="F1019" s="190"/>
    </row>
    <row r="1020" spans="6:6" x14ac:dyDescent="0.3">
      <c r="F1020" s="190"/>
    </row>
    <row r="1021" spans="6:6" x14ac:dyDescent="0.3">
      <c r="F1021" s="190"/>
    </row>
    <row r="1022" spans="6:6" x14ac:dyDescent="0.3">
      <c r="F1022" s="190"/>
    </row>
    <row r="1023" spans="6:6" x14ac:dyDescent="0.3">
      <c r="F1023" s="190"/>
    </row>
    <row r="1024" spans="6:6" x14ac:dyDescent="0.3">
      <c r="F1024" s="190"/>
    </row>
    <row r="1025" spans="6:6" x14ac:dyDescent="0.3">
      <c r="F1025" s="190"/>
    </row>
    <row r="1026" spans="6:6" x14ac:dyDescent="0.3">
      <c r="F1026" s="190"/>
    </row>
    <row r="1027" spans="6:6" x14ac:dyDescent="0.3">
      <c r="F1027" s="190"/>
    </row>
    <row r="1028" spans="6:6" x14ac:dyDescent="0.3">
      <c r="F1028" s="190"/>
    </row>
    <row r="1029" spans="6:6" x14ac:dyDescent="0.3">
      <c r="F1029" s="190"/>
    </row>
    <row r="1030" spans="6:6" x14ac:dyDescent="0.3">
      <c r="F1030" s="190"/>
    </row>
    <row r="1031" spans="6:6" x14ac:dyDescent="0.3">
      <c r="F1031" s="190"/>
    </row>
    <row r="1032" spans="6:6" x14ac:dyDescent="0.3">
      <c r="F1032" s="190"/>
    </row>
    <row r="1033" spans="6:6" x14ac:dyDescent="0.3">
      <c r="F1033" s="190"/>
    </row>
    <row r="1034" spans="6:6" x14ac:dyDescent="0.3">
      <c r="F1034" s="190"/>
    </row>
    <row r="1035" spans="6:6" x14ac:dyDescent="0.3">
      <c r="F1035" s="190"/>
    </row>
    <row r="1036" spans="6:6" x14ac:dyDescent="0.3">
      <c r="F1036" s="190"/>
    </row>
    <row r="1037" spans="6:6" x14ac:dyDescent="0.3">
      <c r="F1037" s="190"/>
    </row>
    <row r="1038" spans="6:6" x14ac:dyDescent="0.3">
      <c r="F1038" s="190"/>
    </row>
    <row r="1039" spans="6:6" x14ac:dyDescent="0.3">
      <c r="F1039" s="190"/>
    </row>
    <row r="1040" spans="6:6" x14ac:dyDescent="0.3">
      <c r="F1040" s="190"/>
    </row>
    <row r="1041" spans="6:6" x14ac:dyDescent="0.3">
      <c r="F1041" s="190"/>
    </row>
    <row r="1042" spans="6:6" x14ac:dyDescent="0.3">
      <c r="F1042" s="190"/>
    </row>
    <row r="1043" spans="6:6" x14ac:dyDescent="0.3">
      <c r="F1043" s="190"/>
    </row>
    <row r="1044" spans="6:6" x14ac:dyDescent="0.3">
      <c r="F1044" s="190"/>
    </row>
    <row r="1045" spans="6:6" x14ac:dyDescent="0.3">
      <c r="F1045" s="190"/>
    </row>
    <row r="1046" spans="6:6" x14ac:dyDescent="0.3">
      <c r="F1046" s="190"/>
    </row>
    <row r="1047" spans="6:6" x14ac:dyDescent="0.3">
      <c r="F1047" s="190"/>
    </row>
    <row r="1048" spans="6:6" x14ac:dyDescent="0.3">
      <c r="F1048" s="190"/>
    </row>
    <row r="1049" spans="6:6" x14ac:dyDescent="0.3">
      <c r="F1049" s="190"/>
    </row>
    <row r="1050" spans="6:6" x14ac:dyDescent="0.3">
      <c r="F1050" s="190"/>
    </row>
    <row r="1051" spans="6:6" x14ac:dyDescent="0.3">
      <c r="F1051" s="190"/>
    </row>
    <row r="1052" spans="6:6" x14ac:dyDescent="0.3">
      <c r="F1052" s="190"/>
    </row>
    <row r="1053" spans="6:6" x14ac:dyDescent="0.3">
      <c r="F1053" s="190"/>
    </row>
    <row r="1054" spans="6:6" x14ac:dyDescent="0.3">
      <c r="F1054" s="190"/>
    </row>
    <row r="1055" spans="6:6" x14ac:dyDescent="0.3">
      <c r="F1055" s="190"/>
    </row>
    <row r="1056" spans="6:6" x14ac:dyDescent="0.3">
      <c r="F1056" s="190"/>
    </row>
    <row r="1057" spans="6:6" x14ac:dyDescent="0.3">
      <c r="F1057" s="190"/>
    </row>
    <row r="1058" spans="6:6" x14ac:dyDescent="0.3">
      <c r="F1058" s="190"/>
    </row>
    <row r="1059" spans="6:6" x14ac:dyDescent="0.3">
      <c r="F1059" s="190"/>
    </row>
    <row r="1060" spans="6:6" x14ac:dyDescent="0.3">
      <c r="F1060" s="190"/>
    </row>
    <row r="1061" spans="6:6" x14ac:dyDescent="0.3">
      <c r="F1061" s="190"/>
    </row>
    <row r="1062" spans="6:6" x14ac:dyDescent="0.3">
      <c r="F1062" s="190"/>
    </row>
    <row r="1063" spans="6:6" x14ac:dyDescent="0.3">
      <c r="F1063" s="190"/>
    </row>
    <row r="1064" spans="6:6" x14ac:dyDescent="0.3">
      <c r="F1064" s="190"/>
    </row>
    <row r="1065" spans="6:6" x14ac:dyDescent="0.3">
      <c r="F1065" s="190"/>
    </row>
    <row r="1066" spans="6:6" x14ac:dyDescent="0.3">
      <c r="F1066" s="190"/>
    </row>
    <row r="1067" spans="6:6" x14ac:dyDescent="0.3">
      <c r="F1067" s="190"/>
    </row>
    <row r="1068" spans="6:6" x14ac:dyDescent="0.3">
      <c r="F1068" s="190"/>
    </row>
    <row r="1069" spans="6:6" x14ac:dyDescent="0.3">
      <c r="F1069" s="190"/>
    </row>
    <row r="1070" spans="6:6" x14ac:dyDescent="0.3">
      <c r="F1070" s="190"/>
    </row>
    <row r="1071" spans="6:6" x14ac:dyDescent="0.3">
      <c r="F1071" s="190"/>
    </row>
    <row r="1072" spans="6:6" x14ac:dyDescent="0.3">
      <c r="F1072" s="190"/>
    </row>
    <row r="1073" spans="6:6" x14ac:dyDescent="0.3">
      <c r="F1073" s="190"/>
    </row>
    <row r="1074" spans="6:6" x14ac:dyDescent="0.3">
      <c r="F1074" s="190"/>
    </row>
    <row r="1075" spans="6:6" x14ac:dyDescent="0.3">
      <c r="F1075" s="190"/>
    </row>
    <row r="1076" spans="6:6" x14ac:dyDescent="0.3">
      <c r="F1076" s="190"/>
    </row>
    <row r="1077" spans="6:6" x14ac:dyDescent="0.3">
      <c r="F1077" s="190"/>
    </row>
    <row r="1078" spans="6:6" x14ac:dyDescent="0.3">
      <c r="F1078" s="190"/>
    </row>
    <row r="1079" spans="6:6" x14ac:dyDescent="0.3">
      <c r="F1079" s="190"/>
    </row>
    <row r="1080" spans="6:6" x14ac:dyDescent="0.3">
      <c r="F1080" s="190"/>
    </row>
    <row r="1081" spans="6:6" x14ac:dyDescent="0.3">
      <c r="F1081" s="190"/>
    </row>
    <row r="1082" spans="6:6" x14ac:dyDescent="0.3">
      <c r="F1082" s="190"/>
    </row>
    <row r="1083" spans="6:6" x14ac:dyDescent="0.3">
      <c r="F1083" s="190"/>
    </row>
    <row r="1084" spans="6:6" x14ac:dyDescent="0.3">
      <c r="F1084" s="190"/>
    </row>
    <row r="1085" spans="6:6" x14ac:dyDescent="0.3">
      <c r="F1085" s="190"/>
    </row>
    <row r="1086" spans="6:6" x14ac:dyDescent="0.3">
      <c r="F1086" s="190"/>
    </row>
    <row r="1087" spans="6:6" x14ac:dyDescent="0.3">
      <c r="F1087" s="190"/>
    </row>
    <row r="1088" spans="6:6" x14ac:dyDescent="0.3">
      <c r="F1088" s="190"/>
    </row>
    <row r="1089" spans="6:6" x14ac:dyDescent="0.3">
      <c r="F1089" s="190"/>
    </row>
    <row r="1090" spans="6:6" x14ac:dyDescent="0.3">
      <c r="F1090" s="190"/>
    </row>
    <row r="1091" spans="6:6" x14ac:dyDescent="0.3">
      <c r="F1091" s="190"/>
    </row>
    <row r="1092" spans="6:6" x14ac:dyDescent="0.3">
      <c r="F1092" s="190"/>
    </row>
    <row r="1093" spans="6:6" x14ac:dyDescent="0.3">
      <c r="F1093" s="190"/>
    </row>
    <row r="1094" spans="6:6" x14ac:dyDescent="0.3">
      <c r="F1094" s="190"/>
    </row>
    <row r="1095" spans="6:6" x14ac:dyDescent="0.3">
      <c r="F1095" s="190"/>
    </row>
    <row r="1096" spans="6:6" x14ac:dyDescent="0.3">
      <c r="F1096" s="190"/>
    </row>
    <row r="1097" spans="6:6" x14ac:dyDescent="0.3">
      <c r="F1097" s="190"/>
    </row>
    <row r="1098" spans="6:6" x14ac:dyDescent="0.3">
      <c r="F1098" s="190"/>
    </row>
    <row r="1099" spans="6:6" x14ac:dyDescent="0.3">
      <c r="F1099" s="190"/>
    </row>
    <row r="1100" spans="6:6" x14ac:dyDescent="0.3">
      <c r="F1100" s="190"/>
    </row>
    <row r="1101" spans="6:6" x14ac:dyDescent="0.3">
      <c r="F1101" s="190"/>
    </row>
    <row r="1102" spans="6:6" x14ac:dyDescent="0.3">
      <c r="F1102" s="190"/>
    </row>
    <row r="1103" spans="6:6" x14ac:dyDescent="0.3">
      <c r="F1103" s="190"/>
    </row>
    <row r="1104" spans="6:6" x14ac:dyDescent="0.3">
      <c r="F1104" s="190"/>
    </row>
    <row r="1105" spans="6:6" x14ac:dyDescent="0.3">
      <c r="F1105" s="190"/>
    </row>
    <row r="1106" spans="6:6" x14ac:dyDescent="0.3">
      <c r="F1106" s="190"/>
    </row>
    <row r="1107" spans="6:6" x14ac:dyDescent="0.3">
      <c r="F1107" s="190"/>
    </row>
    <row r="1108" spans="6:6" x14ac:dyDescent="0.3">
      <c r="F1108" s="190"/>
    </row>
    <row r="1109" spans="6:6" x14ac:dyDescent="0.3">
      <c r="F1109" s="190"/>
    </row>
    <row r="1110" spans="6:6" x14ac:dyDescent="0.3">
      <c r="F1110" s="190"/>
    </row>
    <row r="1111" spans="6:6" x14ac:dyDescent="0.3">
      <c r="F1111" s="190"/>
    </row>
    <row r="1112" spans="6:6" x14ac:dyDescent="0.3">
      <c r="F1112" s="190"/>
    </row>
    <row r="1113" spans="6:6" x14ac:dyDescent="0.3">
      <c r="F1113" s="190"/>
    </row>
    <row r="1114" spans="6:6" x14ac:dyDescent="0.3">
      <c r="F1114" s="190"/>
    </row>
    <row r="1115" spans="6:6" x14ac:dyDescent="0.3">
      <c r="F1115" s="190"/>
    </row>
    <row r="1116" spans="6:6" x14ac:dyDescent="0.3">
      <c r="F1116" s="190"/>
    </row>
    <row r="1117" spans="6:6" x14ac:dyDescent="0.3">
      <c r="F1117" s="190"/>
    </row>
    <row r="1118" spans="6:6" x14ac:dyDescent="0.3">
      <c r="F1118" s="190"/>
    </row>
    <row r="1119" spans="6:6" x14ac:dyDescent="0.3">
      <c r="F1119" s="190"/>
    </row>
    <row r="1120" spans="6:6" x14ac:dyDescent="0.3">
      <c r="F1120" s="190"/>
    </row>
    <row r="1121" spans="6:6" x14ac:dyDescent="0.3">
      <c r="F1121" s="190"/>
    </row>
    <row r="1122" spans="6:6" x14ac:dyDescent="0.3">
      <c r="F1122" s="190"/>
    </row>
    <row r="1123" spans="6:6" x14ac:dyDescent="0.3">
      <c r="F1123" s="190"/>
    </row>
    <row r="1124" spans="6:6" x14ac:dyDescent="0.3">
      <c r="F1124" s="190"/>
    </row>
    <row r="1125" spans="6:6" x14ac:dyDescent="0.3">
      <c r="F1125" s="190"/>
    </row>
    <row r="1126" spans="6:6" x14ac:dyDescent="0.3">
      <c r="F1126" s="190"/>
    </row>
    <row r="1127" spans="6:6" x14ac:dyDescent="0.3">
      <c r="F1127" s="190"/>
    </row>
    <row r="1128" spans="6:6" x14ac:dyDescent="0.3">
      <c r="F1128" s="190"/>
    </row>
    <row r="1129" spans="6:6" x14ac:dyDescent="0.3">
      <c r="F1129" s="190"/>
    </row>
    <row r="1130" spans="6:6" x14ac:dyDescent="0.3">
      <c r="F1130" s="190"/>
    </row>
    <row r="1131" spans="6:6" x14ac:dyDescent="0.3">
      <c r="F1131" s="190"/>
    </row>
    <row r="1132" spans="6:6" x14ac:dyDescent="0.3">
      <c r="F1132" s="190"/>
    </row>
    <row r="1133" spans="6:6" x14ac:dyDescent="0.3">
      <c r="F1133" s="190"/>
    </row>
    <row r="1134" spans="6:6" x14ac:dyDescent="0.3">
      <c r="F1134" s="190"/>
    </row>
    <row r="1135" spans="6:6" x14ac:dyDescent="0.3">
      <c r="F1135" s="190"/>
    </row>
    <row r="1136" spans="6:6" x14ac:dyDescent="0.3">
      <c r="F1136" s="190"/>
    </row>
    <row r="1137" spans="6:6" x14ac:dyDescent="0.3">
      <c r="F1137" s="190"/>
    </row>
    <row r="1138" spans="6:6" x14ac:dyDescent="0.3">
      <c r="F1138" s="190"/>
    </row>
    <row r="1139" spans="6:6" x14ac:dyDescent="0.3">
      <c r="F1139" s="190"/>
    </row>
    <row r="1140" spans="6:6" x14ac:dyDescent="0.3">
      <c r="F1140" s="190"/>
    </row>
    <row r="1141" spans="6:6" x14ac:dyDescent="0.3">
      <c r="F1141" s="190"/>
    </row>
    <row r="1142" spans="6:6" x14ac:dyDescent="0.3">
      <c r="F1142" s="190"/>
    </row>
    <row r="1143" spans="6:6" x14ac:dyDescent="0.3">
      <c r="F1143" s="190"/>
    </row>
    <row r="1144" spans="6:6" x14ac:dyDescent="0.3">
      <c r="F1144" s="190"/>
    </row>
    <row r="1145" spans="6:6" x14ac:dyDescent="0.3">
      <c r="F1145" s="190"/>
    </row>
    <row r="1146" spans="6:6" x14ac:dyDescent="0.3">
      <c r="F1146" s="190"/>
    </row>
    <row r="1147" spans="6:6" x14ac:dyDescent="0.3">
      <c r="F1147" s="190"/>
    </row>
    <row r="1148" spans="6:6" x14ac:dyDescent="0.3">
      <c r="F1148" s="190"/>
    </row>
    <row r="1149" spans="6:6" x14ac:dyDescent="0.3">
      <c r="F1149" s="190"/>
    </row>
    <row r="1150" spans="6:6" x14ac:dyDescent="0.3">
      <c r="F1150" s="190"/>
    </row>
    <row r="1151" spans="6:6" x14ac:dyDescent="0.3">
      <c r="F1151" s="190"/>
    </row>
    <row r="1152" spans="6:6" x14ac:dyDescent="0.3">
      <c r="F1152" s="190"/>
    </row>
    <row r="1153" spans="6:6" x14ac:dyDescent="0.3">
      <c r="F1153" s="190"/>
    </row>
    <row r="1154" spans="6:6" x14ac:dyDescent="0.3">
      <c r="F1154" s="190"/>
    </row>
    <row r="1155" spans="6:6" x14ac:dyDescent="0.3">
      <c r="F1155" s="190"/>
    </row>
    <row r="1156" spans="6:6" x14ac:dyDescent="0.3">
      <c r="F1156" s="190"/>
    </row>
    <row r="1157" spans="6:6" x14ac:dyDescent="0.3">
      <c r="F1157" s="190"/>
    </row>
    <row r="1158" spans="6:6" x14ac:dyDescent="0.3">
      <c r="F1158" s="190"/>
    </row>
    <row r="1159" spans="6:6" x14ac:dyDescent="0.3">
      <c r="F1159" s="190"/>
    </row>
    <row r="1160" spans="6:6" x14ac:dyDescent="0.3">
      <c r="F1160" s="190"/>
    </row>
    <row r="1161" spans="6:6" x14ac:dyDescent="0.3">
      <c r="F1161" s="190"/>
    </row>
    <row r="1162" spans="6:6" x14ac:dyDescent="0.3">
      <c r="F1162" s="190"/>
    </row>
    <row r="1163" spans="6:6" x14ac:dyDescent="0.3">
      <c r="F1163" s="190"/>
    </row>
    <row r="1164" spans="6:6" x14ac:dyDescent="0.3">
      <c r="F1164" s="190"/>
    </row>
    <row r="1165" spans="6:6" x14ac:dyDescent="0.3">
      <c r="F1165" s="190"/>
    </row>
    <row r="1166" spans="6:6" x14ac:dyDescent="0.3">
      <c r="F1166" s="190"/>
    </row>
    <row r="1167" spans="6:6" x14ac:dyDescent="0.3">
      <c r="F1167" s="190"/>
    </row>
    <row r="1168" spans="6:6" x14ac:dyDescent="0.3">
      <c r="F1168" s="190"/>
    </row>
    <row r="1169" spans="6:6" x14ac:dyDescent="0.3">
      <c r="F1169" s="190"/>
    </row>
    <row r="1170" spans="6:6" x14ac:dyDescent="0.3">
      <c r="F1170" s="190"/>
    </row>
    <row r="1171" spans="6:6" x14ac:dyDescent="0.3">
      <c r="F1171" s="190"/>
    </row>
    <row r="1172" spans="6:6" x14ac:dyDescent="0.3">
      <c r="F1172" s="190"/>
    </row>
    <row r="1173" spans="6:6" x14ac:dyDescent="0.3">
      <c r="F1173" s="190"/>
    </row>
    <row r="1174" spans="6:6" x14ac:dyDescent="0.3">
      <c r="F1174" s="190"/>
    </row>
    <row r="1175" spans="6:6" x14ac:dyDescent="0.3">
      <c r="F1175" s="190"/>
    </row>
    <row r="1176" spans="6:6" x14ac:dyDescent="0.3">
      <c r="F1176" s="190"/>
    </row>
    <row r="1177" spans="6:6" x14ac:dyDescent="0.3">
      <c r="F1177" s="190"/>
    </row>
    <row r="1178" spans="6:6" x14ac:dyDescent="0.3">
      <c r="F1178" s="190"/>
    </row>
    <row r="1179" spans="6:6" x14ac:dyDescent="0.3">
      <c r="F1179" s="190"/>
    </row>
    <row r="1180" spans="6:6" x14ac:dyDescent="0.3">
      <c r="F1180" s="190"/>
    </row>
    <row r="1181" spans="6:6" x14ac:dyDescent="0.3">
      <c r="F1181" s="190"/>
    </row>
    <row r="1182" spans="6:6" x14ac:dyDescent="0.3">
      <c r="F1182" s="190"/>
    </row>
    <row r="1183" spans="6:6" x14ac:dyDescent="0.3">
      <c r="F1183" s="190"/>
    </row>
    <row r="1184" spans="6:6" x14ac:dyDescent="0.3">
      <c r="F1184" s="190"/>
    </row>
    <row r="1185" spans="6:6" x14ac:dyDescent="0.3">
      <c r="F1185" s="190"/>
    </row>
    <row r="1186" spans="6:6" x14ac:dyDescent="0.3">
      <c r="F1186" s="190"/>
    </row>
    <row r="1187" spans="6:6" x14ac:dyDescent="0.3">
      <c r="F1187" s="190"/>
    </row>
    <row r="1188" spans="6:6" x14ac:dyDescent="0.3">
      <c r="F1188" s="190"/>
    </row>
    <row r="1189" spans="6:6" x14ac:dyDescent="0.3">
      <c r="F1189" s="190"/>
    </row>
    <row r="1190" spans="6:6" x14ac:dyDescent="0.3">
      <c r="F1190" s="190"/>
    </row>
    <row r="1191" spans="6:6" x14ac:dyDescent="0.3">
      <c r="F1191" s="190"/>
    </row>
    <row r="1192" spans="6:6" x14ac:dyDescent="0.3">
      <c r="F1192" s="190"/>
    </row>
    <row r="1193" spans="6:6" x14ac:dyDescent="0.3">
      <c r="F1193" s="190"/>
    </row>
    <row r="1194" spans="6:6" x14ac:dyDescent="0.3">
      <c r="F1194" s="190"/>
    </row>
    <row r="1195" spans="6:6" x14ac:dyDescent="0.3">
      <c r="F1195" s="190"/>
    </row>
    <row r="1196" spans="6:6" x14ac:dyDescent="0.3">
      <c r="F1196" s="190"/>
    </row>
    <row r="1197" spans="6:6" x14ac:dyDescent="0.3">
      <c r="F1197" s="190"/>
    </row>
    <row r="1198" spans="6:6" x14ac:dyDescent="0.3">
      <c r="F1198" s="190"/>
    </row>
    <row r="1199" spans="6:6" x14ac:dyDescent="0.3">
      <c r="F1199" s="190"/>
    </row>
    <row r="1200" spans="6:6" x14ac:dyDescent="0.3">
      <c r="F1200" s="190"/>
    </row>
    <row r="1201" spans="6:6" x14ac:dyDescent="0.3">
      <c r="F1201" s="190"/>
    </row>
    <row r="1202" spans="6:6" x14ac:dyDescent="0.3">
      <c r="F1202" s="190"/>
    </row>
    <row r="1203" spans="6:6" x14ac:dyDescent="0.3">
      <c r="F1203" s="190"/>
    </row>
    <row r="1204" spans="6:6" x14ac:dyDescent="0.3">
      <c r="F1204" s="190"/>
    </row>
    <row r="1205" spans="6:6" x14ac:dyDescent="0.3">
      <c r="F1205" s="190"/>
    </row>
    <row r="1206" spans="6:6" x14ac:dyDescent="0.3">
      <c r="F1206" s="190"/>
    </row>
    <row r="1207" spans="6:6" x14ac:dyDescent="0.3">
      <c r="F1207" s="190"/>
    </row>
    <row r="1208" spans="6:6" x14ac:dyDescent="0.3">
      <c r="F1208" s="190"/>
    </row>
    <row r="1209" spans="6:6" x14ac:dyDescent="0.3">
      <c r="F1209" s="190"/>
    </row>
    <row r="1210" spans="6:6" x14ac:dyDescent="0.3">
      <c r="F1210" s="190"/>
    </row>
    <row r="1211" spans="6:6" x14ac:dyDescent="0.3">
      <c r="F1211" s="190"/>
    </row>
    <row r="1212" spans="6:6" x14ac:dyDescent="0.3">
      <c r="F1212" s="190"/>
    </row>
    <row r="1213" spans="6:6" x14ac:dyDescent="0.3">
      <c r="F1213" s="190"/>
    </row>
    <row r="1214" spans="6:6" x14ac:dyDescent="0.3">
      <c r="F1214" s="190"/>
    </row>
    <row r="1215" spans="6:6" x14ac:dyDescent="0.3">
      <c r="F1215" s="190"/>
    </row>
    <row r="1216" spans="6:6" x14ac:dyDescent="0.3">
      <c r="F1216" s="190"/>
    </row>
    <row r="1217" spans="6:6" x14ac:dyDescent="0.3">
      <c r="F1217" s="190"/>
    </row>
    <row r="1218" spans="6:6" x14ac:dyDescent="0.3">
      <c r="F1218" s="190"/>
    </row>
    <row r="1219" spans="6:6" x14ac:dyDescent="0.3">
      <c r="F1219" s="190"/>
    </row>
    <row r="1220" spans="6:6" x14ac:dyDescent="0.3">
      <c r="F1220" s="190"/>
    </row>
    <row r="1221" spans="6:6" x14ac:dyDescent="0.3">
      <c r="F1221" s="190"/>
    </row>
    <row r="1222" spans="6:6" x14ac:dyDescent="0.3">
      <c r="F1222" s="190"/>
    </row>
    <row r="1223" spans="6:6" x14ac:dyDescent="0.3">
      <c r="F1223" s="190"/>
    </row>
    <row r="1224" spans="6:6" x14ac:dyDescent="0.3">
      <c r="F1224" s="190"/>
    </row>
    <row r="1225" spans="6:6" x14ac:dyDescent="0.3">
      <c r="F1225" s="190"/>
    </row>
    <row r="1226" spans="6:6" x14ac:dyDescent="0.3">
      <c r="F1226" s="190"/>
    </row>
    <row r="1227" spans="6:6" x14ac:dyDescent="0.3">
      <c r="F1227" s="190"/>
    </row>
    <row r="1228" spans="6:6" x14ac:dyDescent="0.3">
      <c r="F1228" s="190"/>
    </row>
    <row r="1229" spans="6:6" x14ac:dyDescent="0.3">
      <c r="F1229" s="190"/>
    </row>
    <row r="1230" spans="6:6" x14ac:dyDescent="0.3">
      <c r="F1230" s="190"/>
    </row>
    <row r="1231" spans="6:6" x14ac:dyDescent="0.3">
      <c r="F1231" s="190"/>
    </row>
    <row r="1232" spans="6:6" x14ac:dyDescent="0.3">
      <c r="F1232" s="190"/>
    </row>
    <row r="1233" spans="6:6" x14ac:dyDescent="0.3">
      <c r="F1233" s="190"/>
    </row>
    <row r="1234" spans="6:6" x14ac:dyDescent="0.3">
      <c r="F1234" s="190"/>
    </row>
    <row r="1235" spans="6:6" x14ac:dyDescent="0.3">
      <c r="F1235" s="190"/>
    </row>
    <row r="1236" spans="6:6" x14ac:dyDescent="0.3">
      <c r="F1236" s="190"/>
    </row>
    <row r="1237" spans="6:6" x14ac:dyDescent="0.3">
      <c r="F1237" s="190"/>
    </row>
    <row r="1238" spans="6:6" x14ac:dyDescent="0.3">
      <c r="F1238" s="190"/>
    </row>
    <row r="1239" spans="6:6" x14ac:dyDescent="0.3">
      <c r="F1239" s="190"/>
    </row>
    <row r="1240" spans="6:6" x14ac:dyDescent="0.3">
      <c r="F1240" s="190"/>
    </row>
    <row r="1241" spans="6:6" x14ac:dyDescent="0.3">
      <c r="F1241" s="190"/>
    </row>
    <row r="1242" spans="6:6" x14ac:dyDescent="0.3">
      <c r="F1242" s="190"/>
    </row>
    <row r="1243" spans="6:6" x14ac:dyDescent="0.3">
      <c r="F1243" s="190"/>
    </row>
    <row r="1244" spans="6:6" x14ac:dyDescent="0.3">
      <c r="F1244" s="190"/>
    </row>
    <row r="1245" spans="6:6" x14ac:dyDescent="0.3">
      <c r="F1245" s="190"/>
    </row>
    <row r="1246" spans="6:6" x14ac:dyDescent="0.3">
      <c r="F1246" s="190"/>
    </row>
    <row r="1247" spans="6:6" x14ac:dyDescent="0.3">
      <c r="F1247" s="190"/>
    </row>
    <row r="1248" spans="6:6" x14ac:dyDescent="0.3">
      <c r="F1248" s="190"/>
    </row>
    <row r="1249" spans="6:6" x14ac:dyDescent="0.3">
      <c r="F1249" s="190"/>
    </row>
    <row r="1250" spans="6:6" x14ac:dyDescent="0.3">
      <c r="F1250" s="190"/>
    </row>
    <row r="1251" spans="6:6" x14ac:dyDescent="0.3">
      <c r="F1251" s="190"/>
    </row>
    <row r="1252" spans="6:6" x14ac:dyDescent="0.3">
      <c r="F1252" s="190"/>
    </row>
    <row r="1253" spans="6:6" x14ac:dyDescent="0.3">
      <c r="F1253" s="190"/>
    </row>
    <row r="1254" spans="6:6" x14ac:dyDescent="0.3">
      <c r="F1254" s="190"/>
    </row>
    <row r="1255" spans="6:6" x14ac:dyDescent="0.3">
      <c r="F1255" s="190"/>
    </row>
    <row r="1256" spans="6:6" x14ac:dyDescent="0.3">
      <c r="F1256" s="190"/>
    </row>
    <row r="1257" spans="6:6" x14ac:dyDescent="0.3">
      <c r="F1257" s="190"/>
    </row>
    <row r="1258" spans="6:6" x14ac:dyDescent="0.3">
      <c r="F1258" s="190"/>
    </row>
    <row r="1259" spans="6:6" x14ac:dyDescent="0.3">
      <c r="F1259" s="190"/>
    </row>
    <row r="1260" spans="6:6" x14ac:dyDescent="0.3">
      <c r="F1260" s="190"/>
    </row>
    <row r="1261" spans="6:6" x14ac:dyDescent="0.3">
      <c r="F1261" s="190"/>
    </row>
    <row r="1262" spans="6:6" x14ac:dyDescent="0.3">
      <c r="F1262" s="190"/>
    </row>
    <row r="1263" spans="6:6" x14ac:dyDescent="0.3">
      <c r="F1263" s="190"/>
    </row>
    <row r="1264" spans="6:6" x14ac:dyDescent="0.3">
      <c r="F1264" s="190"/>
    </row>
    <row r="1265" spans="6:6" x14ac:dyDescent="0.3">
      <c r="F1265" s="190"/>
    </row>
    <row r="1266" spans="6:6" x14ac:dyDescent="0.3">
      <c r="F1266" s="190"/>
    </row>
    <row r="1267" spans="6:6" x14ac:dyDescent="0.3">
      <c r="F1267" s="190"/>
    </row>
    <row r="1268" spans="6:6" x14ac:dyDescent="0.3">
      <c r="F1268" s="190"/>
    </row>
    <row r="1269" spans="6:6" x14ac:dyDescent="0.3">
      <c r="F1269" s="190"/>
    </row>
    <row r="1270" spans="6:6" x14ac:dyDescent="0.3">
      <c r="F1270" s="190"/>
    </row>
    <row r="1271" spans="6:6" x14ac:dyDescent="0.3">
      <c r="F1271" s="190"/>
    </row>
    <row r="1272" spans="6:6" x14ac:dyDescent="0.3">
      <c r="F1272" s="190"/>
    </row>
    <row r="1273" spans="6:6" x14ac:dyDescent="0.3">
      <c r="F1273" s="190"/>
    </row>
    <row r="1274" spans="6:6" x14ac:dyDescent="0.3">
      <c r="F1274" s="190"/>
    </row>
    <row r="1275" spans="6:6" x14ac:dyDescent="0.3">
      <c r="F1275" s="190"/>
    </row>
    <row r="1276" spans="6:6" x14ac:dyDescent="0.3">
      <c r="F1276" s="190"/>
    </row>
    <row r="1277" spans="6:6" x14ac:dyDescent="0.3">
      <c r="F1277" s="190"/>
    </row>
    <row r="1278" spans="6:6" x14ac:dyDescent="0.3">
      <c r="F1278" s="190"/>
    </row>
    <row r="1279" spans="6:6" x14ac:dyDescent="0.3">
      <c r="F1279" s="190"/>
    </row>
    <row r="1280" spans="6:6" x14ac:dyDescent="0.3">
      <c r="F1280" s="190"/>
    </row>
    <row r="1281" spans="6:6" x14ac:dyDescent="0.3">
      <c r="F1281" s="190"/>
    </row>
    <row r="1282" spans="6:6" x14ac:dyDescent="0.3">
      <c r="F1282" s="190"/>
    </row>
    <row r="1283" spans="6:6" x14ac:dyDescent="0.3">
      <c r="F1283" s="190"/>
    </row>
    <row r="1284" spans="6:6" x14ac:dyDescent="0.3">
      <c r="F1284" s="190"/>
    </row>
    <row r="1285" spans="6:6" x14ac:dyDescent="0.3">
      <c r="F1285" s="190"/>
    </row>
    <row r="1286" spans="6:6" x14ac:dyDescent="0.3">
      <c r="F1286" s="190"/>
    </row>
    <row r="1287" spans="6:6" x14ac:dyDescent="0.3">
      <c r="F1287" s="190"/>
    </row>
    <row r="1288" spans="6:6" x14ac:dyDescent="0.3">
      <c r="F1288" s="190"/>
    </row>
    <row r="1289" spans="6:6" x14ac:dyDescent="0.3">
      <c r="F1289" s="190"/>
    </row>
    <row r="1290" spans="6:6" x14ac:dyDescent="0.3">
      <c r="F1290" s="190"/>
    </row>
    <row r="1291" spans="6:6" x14ac:dyDescent="0.3">
      <c r="F1291" s="190"/>
    </row>
    <row r="1292" spans="6:6" x14ac:dyDescent="0.3">
      <c r="F1292" s="190"/>
    </row>
    <row r="1293" spans="6:6" x14ac:dyDescent="0.3">
      <c r="F1293" s="190"/>
    </row>
    <row r="1294" spans="6:6" x14ac:dyDescent="0.3">
      <c r="F1294" s="190"/>
    </row>
    <row r="1295" spans="6:6" x14ac:dyDescent="0.3">
      <c r="F1295" s="190"/>
    </row>
    <row r="1296" spans="6:6" x14ac:dyDescent="0.3">
      <c r="F1296" s="190"/>
    </row>
    <row r="1297" spans="6:6" x14ac:dyDescent="0.3">
      <c r="F1297" s="190"/>
    </row>
    <row r="1298" spans="6:6" x14ac:dyDescent="0.3">
      <c r="F1298" s="190"/>
    </row>
    <row r="1299" spans="6:6" x14ac:dyDescent="0.3">
      <c r="F1299" s="190"/>
    </row>
    <row r="1300" spans="6:6" x14ac:dyDescent="0.3">
      <c r="F1300" s="190"/>
    </row>
    <row r="1301" spans="6:6" x14ac:dyDescent="0.3">
      <c r="F1301" s="190"/>
    </row>
    <row r="1302" spans="6:6" x14ac:dyDescent="0.3">
      <c r="F1302" s="190"/>
    </row>
    <row r="1303" spans="6:6" x14ac:dyDescent="0.3">
      <c r="F1303" s="190"/>
    </row>
    <row r="1304" spans="6:6" x14ac:dyDescent="0.3">
      <c r="F1304" s="190"/>
    </row>
    <row r="1305" spans="6:6" x14ac:dyDescent="0.3">
      <c r="F1305" s="190"/>
    </row>
    <row r="1306" spans="6:6" x14ac:dyDescent="0.3">
      <c r="F1306" s="190"/>
    </row>
    <row r="1307" spans="6:6" x14ac:dyDescent="0.3">
      <c r="F1307" s="190"/>
    </row>
    <row r="1308" spans="6:6" x14ac:dyDescent="0.3">
      <c r="F1308" s="190"/>
    </row>
    <row r="1309" spans="6:6" x14ac:dyDescent="0.3">
      <c r="F1309" s="190"/>
    </row>
    <row r="1310" spans="6:6" x14ac:dyDescent="0.3">
      <c r="F1310" s="190"/>
    </row>
    <row r="1311" spans="6:6" x14ac:dyDescent="0.3">
      <c r="F1311" s="190"/>
    </row>
    <row r="1312" spans="6:6" x14ac:dyDescent="0.3">
      <c r="F1312" s="190"/>
    </row>
    <row r="1313" spans="6:6" x14ac:dyDescent="0.3">
      <c r="F1313" s="190"/>
    </row>
    <row r="1314" spans="6:6" x14ac:dyDescent="0.3">
      <c r="F1314" s="190"/>
    </row>
    <row r="1315" spans="6:6" x14ac:dyDescent="0.3">
      <c r="F1315" s="190"/>
    </row>
    <row r="1316" spans="6:6" x14ac:dyDescent="0.3">
      <c r="F1316" s="190"/>
    </row>
    <row r="1317" spans="6:6" x14ac:dyDescent="0.3">
      <c r="F1317" s="190"/>
    </row>
    <row r="1318" spans="6:6" x14ac:dyDescent="0.3">
      <c r="F1318" s="190"/>
    </row>
    <row r="1319" spans="6:6" x14ac:dyDescent="0.3">
      <c r="F1319" s="190"/>
    </row>
    <row r="1320" spans="6:6" x14ac:dyDescent="0.3">
      <c r="F1320" s="190"/>
    </row>
    <row r="1321" spans="6:6" x14ac:dyDescent="0.3">
      <c r="F1321" s="190"/>
    </row>
    <row r="1322" spans="6:6" x14ac:dyDescent="0.3">
      <c r="F1322" s="190"/>
    </row>
    <row r="1323" spans="6:6" x14ac:dyDescent="0.3">
      <c r="F1323" s="190"/>
    </row>
    <row r="1324" spans="6:6" x14ac:dyDescent="0.3">
      <c r="F1324" s="190"/>
    </row>
    <row r="1325" spans="6:6" x14ac:dyDescent="0.3">
      <c r="F1325" s="190"/>
    </row>
    <row r="1326" spans="6:6" x14ac:dyDescent="0.3">
      <c r="F1326" s="190"/>
    </row>
    <row r="1327" spans="6:6" x14ac:dyDescent="0.3">
      <c r="F1327" s="190"/>
    </row>
    <row r="1328" spans="6:6" x14ac:dyDescent="0.3">
      <c r="F1328" s="190"/>
    </row>
    <row r="1329" spans="6:6" x14ac:dyDescent="0.3">
      <c r="F1329" s="190"/>
    </row>
    <row r="1330" spans="6:6" x14ac:dyDescent="0.3">
      <c r="F1330" s="190"/>
    </row>
    <row r="1331" spans="6:6" x14ac:dyDescent="0.3">
      <c r="F1331" s="190"/>
    </row>
    <row r="1332" spans="6:6" x14ac:dyDescent="0.3">
      <c r="F1332" s="190"/>
    </row>
    <row r="1333" spans="6:6" x14ac:dyDescent="0.3">
      <c r="F1333" s="190"/>
    </row>
    <row r="1334" spans="6:6" x14ac:dyDescent="0.3">
      <c r="F1334" s="190"/>
    </row>
    <row r="1335" spans="6:6" x14ac:dyDescent="0.3">
      <c r="F1335" s="190"/>
    </row>
    <row r="1336" spans="6:6" x14ac:dyDescent="0.3">
      <c r="F1336" s="190"/>
    </row>
    <row r="1337" spans="6:6" x14ac:dyDescent="0.3">
      <c r="F1337" s="190"/>
    </row>
    <row r="1338" spans="6:6" x14ac:dyDescent="0.3">
      <c r="F1338" s="190"/>
    </row>
    <row r="1339" spans="6:6" x14ac:dyDescent="0.3">
      <c r="F1339" s="190"/>
    </row>
    <row r="1340" spans="6:6" x14ac:dyDescent="0.3">
      <c r="F1340" s="190"/>
    </row>
    <row r="1341" spans="6:6" x14ac:dyDescent="0.3">
      <c r="F1341" s="190"/>
    </row>
    <row r="1342" spans="6:6" x14ac:dyDescent="0.3">
      <c r="F1342" s="190"/>
    </row>
    <row r="1343" spans="6:6" x14ac:dyDescent="0.3">
      <c r="F1343" s="190"/>
    </row>
    <row r="1344" spans="6:6" x14ac:dyDescent="0.3">
      <c r="F1344" s="190"/>
    </row>
    <row r="1345" spans="6:6" x14ac:dyDescent="0.3">
      <c r="F1345" s="190"/>
    </row>
    <row r="1346" spans="6:6" x14ac:dyDescent="0.3">
      <c r="F1346" s="190"/>
    </row>
    <row r="1347" spans="6:6" x14ac:dyDescent="0.3">
      <c r="F1347" s="190"/>
    </row>
    <row r="1348" spans="6:6" x14ac:dyDescent="0.3">
      <c r="F1348" s="190"/>
    </row>
    <row r="1349" spans="6:6" x14ac:dyDescent="0.3">
      <c r="F1349" s="190"/>
    </row>
    <row r="1350" spans="6:6" x14ac:dyDescent="0.3">
      <c r="F1350" s="190"/>
    </row>
    <row r="1351" spans="6:6" x14ac:dyDescent="0.3">
      <c r="F1351" s="190"/>
    </row>
    <row r="1352" spans="6:6" x14ac:dyDescent="0.3">
      <c r="F1352" s="190"/>
    </row>
    <row r="1353" spans="6:6" x14ac:dyDescent="0.3">
      <c r="F1353" s="190"/>
    </row>
    <row r="1354" spans="6:6" x14ac:dyDescent="0.3">
      <c r="F1354" s="190"/>
    </row>
    <row r="1355" spans="6:6" x14ac:dyDescent="0.3">
      <c r="F1355" s="190"/>
    </row>
    <row r="1356" spans="6:6" x14ac:dyDescent="0.3">
      <c r="F1356" s="190"/>
    </row>
    <row r="1357" spans="6:6" x14ac:dyDescent="0.3">
      <c r="F1357" s="190"/>
    </row>
    <row r="1358" spans="6:6" x14ac:dyDescent="0.3">
      <c r="F1358" s="190"/>
    </row>
    <row r="1359" spans="6:6" x14ac:dyDescent="0.3">
      <c r="F1359" s="190"/>
    </row>
    <row r="1360" spans="6:6" x14ac:dyDescent="0.3">
      <c r="F1360" s="190"/>
    </row>
    <row r="1361" spans="6:6" x14ac:dyDescent="0.3">
      <c r="F1361" s="190"/>
    </row>
    <row r="1362" spans="6:6" x14ac:dyDescent="0.3">
      <c r="F1362" s="190"/>
    </row>
    <row r="1363" spans="6:6" x14ac:dyDescent="0.3">
      <c r="F1363" s="190"/>
    </row>
    <row r="1364" spans="6:6" x14ac:dyDescent="0.3">
      <c r="F1364" s="190"/>
    </row>
    <row r="1365" spans="6:6" x14ac:dyDescent="0.3">
      <c r="F1365" s="190"/>
    </row>
    <row r="1366" spans="6:6" x14ac:dyDescent="0.3">
      <c r="F1366" s="190"/>
    </row>
    <row r="1367" spans="6:6" x14ac:dyDescent="0.3">
      <c r="F1367" s="190"/>
    </row>
    <row r="1368" spans="6:6" x14ac:dyDescent="0.3">
      <c r="F1368" s="190"/>
    </row>
    <row r="1369" spans="6:6" x14ac:dyDescent="0.3">
      <c r="F1369" s="190"/>
    </row>
    <row r="1370" spans="6:6" x14ac:dyDescent="0.3">
      <c r="F1370" s="190"/>
    </row>
    <row r="1371" spans="6:6" x14ac:dyDescent="0.3">
      <c r="F1371" s="190"/>
    </row>
    <row r="1372" spans="6:6" x14ac:dyDescent="0.3">
      <c r="F1372" s="190"/>
    </row>
    <row r="1373" spans="6:6" x14ac:dyDescent="0.3">
      <c r="F1373" s="190"/>
    </row>
    <row r="1374" spans="6:6" x14ac:dyDescent="0.3">
      <c r="F1374" s="190"/>
    </row>
    <row r="1375" spans="6:6" x14ac:dyDescent="0.3">
      <c r="F1375" s="190"/>
    </row>
    <row r="1376" spans="6:6" x14ac:dyDescent="0.3">
      <c r="F1376" s="190"/>
    </row>
    <row r="1377" spans="6:6" x14ac:dyDescent="0.3">
      <c r="F1377" s="190"/>
    </row>
    <row r="1378" spans="6:6" x14ac:dyDescent="0.3">
      <c r="F1378" s="190"/>
    </row>
    <row r="1379" spans="6:6" x14ac:dyDescent="0.3">
      <c r="F1379" s="190"/>
    </row>
    <row r="1380" spans="6:6" x14ac:dyDescent="0.3">
      <c r="F1380" s="190"/>
    </row>
    <row r="1381" spans="6:6" x14ac:dyDescent="0.3">
      <c r="F1381" s="190"/>
    </row>
    <row r="1382" spans="6:6" x14ac:dyDescent="0.3">
      <c r="F1382" s="190"/>
    </row>
    <row r="1383" spans="6:6" x14ac:dyDescent="0.3">
      <c r="F1383" s="190"/>
    </row>
    <row r="1384" spans="6:6" x14ac:dyDescent="0.3">
      <c r="F1384" s="190"/>
    </row>
    <row r="1385" spans="6:6" x14ac:dyDescent="0.3">
      <c r="F1385" s="190"/>
    </row>
    <row r="1386" spans="6:6" x14ac:dyDescent="0.3">
      <c r="F1386" s="190"/>
    </row>
    <row r="1387" spans="6:6" x14ac:dyDescent="0.3">
      <c r="F1387" s="190"/>
    </row>
    <row r="1388" spans="6:6" x14ac:dyDescent="0.3">
      <c r="F1388" s="190"/>
    </row>
    <row r="1389" spans="6:6" x14ac:dyDescent="0.3">
      <c r="F1389" s="190"/>
    </row>
    <row r="1390" spans="6:6" x14ac:dyDescent="0.3">
      <c r="F1390" s="190"/>
    </row>
    <row r="1391" spans="6:6" x14ac:dyDescent="0.3">
      <c r="F1391" s="190"/>
    </row>
    <row r="1392" spans="6:6" x14ac:dyDescent="0.3">
      <c r="F1392" s="190"/>
    </row>
    <row r="1393" spans="6:6" x14ac:dyDescent="0.3">
      <c r="F1393" s="190"/>
    </row>
    <row r="1394" spans="6:6" x14ac:dyDescent="0.3">
      <c r="F1394" s="190"/>
    </row>
    <row r="1395" spans="6:6" x14ac:dyDescent="0.3">
      <c r="F1395" s="190"/>
    </row>
    <row r="1396" spans="6:6" x14ac:dyDescent="0.3">
      <c r="F1396" s="190"/>
    </row>
    <row r="1397" spans="6:6" x14ac:dyDescent="0.3">
      <c r="F1397" s="190"/>
    </row>
    <row r="1398" spans="6:6" x14ac:dyDescent="0.3">
      <c r="F1398" s="190"/>
    </row>
    <row r="1399" spans="6:6" x14ac:dyDescent="0.3">
      <c r="F1399" s="190"/>
    </row>
    <row r="1400" spans="6:6" x14ac:dyDescent="0.3">
      <c r="F1400" s="190"/>
    </row>
    <row r="1401" spans="6:6" x14ac:dyDescent="0.3">
      <c r="F1401" s="190"/>
    </row>
    <row r="1402" spans="6:6" x14ac:dyDescent="0.3">
      <c r="F1402" s="190"/>
    </row>
    <row r="1403" spans="6:6" x14ac:dyDescent="0.3">
      <c r="F1403" s="190"/>
    </row>
    <row r="1404" spans="6:6" x14ac:dyDescent="0.3">
      <c r="F1404" s="190"/>
    </row>
    <row r="1405" spans="6:6" x14ac:dyDescent="0.3">
      <c r="F1405" s="190"/>
    </row>
    <row r="1406" spans="6:6" x14ac:dyDescent="0.3">
      <c r="F1406" s="190"/>
    </row>
    <row r="1407" spans="6:6" x14ac:dyDescent="0.3">
      <c r="F1407" s="190"/>
    </row>
    <row r="1408" spans="6:6" x14ac:dyDescent="0.3">
      <c r="F1408" s="190"/>
    </row>
    <row r="1409" spans="6:6" x14ac:dyDescent="0.3">
      <c r="F1409" s="190"/>
    </row>
    <row r="1410" spans="6:6" x14ac:dyDescent="0.3">
      <c r="F1410" s="190"/>
    </row>
    <row r="1411" spans="6:6" x14ac:dyDescent="0.3">
      <c r="F1411" s="190"/>
    </row>
    <row r="1412" spans="6:6" x14ac:dyDescent="0.3">
      <c r="F1412" s="190"/>
    </row>
    <row r="1413" spans="6:6" x14ac:dyDescent="0.3">
      <c r="F1413" s="190"/>
    </row>
    <row r="1414" spans="6:6" x14ac:dyDescent="0.3">
      <c r="F1414" s="190"/>
    </row>
    <row r="1415" spans="6:6" x14ac:dyDescent="0.3">
      <c r="F1415" s="190"/>
    </row>
    <row r="1416" spans="6:6" x14ac:dyDescent="0.3">
      <c r="F1416" s="190"/>
    </row>
    <row r="1417" spans="6:6" x14ac:dyDescent="0.3">
      <c r="F1417" s="190"/>
    </row>
    <row r="1418" spans="6:6" x14ac:dyDescent="0.3">
      <c r="F1418" s="190"/>
    </row>
    <row r="1419" spans="6:6" x14ac:dyDescent="0.3">
      <c r="F1419" s="190"/>
    </row>
    <row r="1420" spans="6:6" x14ac:dyDescent="0.3">
      <c r="F1420" s="190"/>
    </row>
    <row r="1421" spans="6:6" x14ac:dyDescent="0.3">
      <c r="F1421" s="190"/>
    </row>
    <row r="1422" spans="6:6" x14ac:dyDescent="0.3">
      <c r="F1422" s="190"/>
    </row>
    <row r="1423" spans="6:6" x14ac:dyDescent="0.3">
      <c r="F1423" s="190"/>
    </row>
    <row r="1424" spans="6:6" x14ac:dyDescent="0.3">
      <c r="F1424" s="190"/>
    </row>
    <row r="1425" spans="6:6" x14ac:dyDescent="0.3">
      <c r="F1425" s="190"/>
    </row>
    <row r="1426" spans="6:6" x14ac:dyDescent="0.3">
      <c r="F1426" s="190"/>
    </row>
    <row r="1427" spans="6:6" x14ac:dyDescent="0.3">
      <c r="F1427" s="190"/>
    </row>
    <row r="1428" spans="6:6" x14ac:dyDescent="0.3">
      <c r="F1428" s="190"/>
    </row>
    <row r="1429" spans="6:6" x14ac:dyDescent="0.3">
      <c r="F1429" s="190"/>
    </row>
    <row r="1430" spans="6:6" x14ac:dyDescent="0.3">
      <c r="F1430" s="190"/>
    </row>
    <row r="1431" spans="6:6" x14ac:dyDescent="0.3">
      <c r="F1431" s="190"/>
    </row>
    <row r="1432" spans="6:6" x14ac:dyDescent="0.3">
      <c r="F1432" s="190"/>
    </row>
    <row r="1433" spans="6:6" x14ac:dyDescent="0.3">
      <c r="F1433" s="190"/>
    </row>
    <row r="1434" spans="6:6" x14ac:dyDescent="0.3">
      <c r="F1434" s="190"/>
    </row>
    <row r="1435" spans="6:6" x14ac:dyDescent="0.3">
      <c r="F1435" s="190"/>
    </row>
    <row r="1436" spans="6:6" x14ac:dyDescent="0.3">
      <c r="F1436" s="190"/>
    </row>
    <row r="1437" spans="6:6" x14ac:dyDescent="0.3">
      <c r="F1437" s="190"/>
    </row>
    <row r="1438" spans="6:6" x14ac:dyDescent="0.3">
      <c r="F1438" s="190"/>
    </row>
    <row r="1439" spans="6:6" x14ac:dyDescent="0.3">
      <c r="F1439" s="190"/>
    </row>
    <row r="1440" spans="6:6" x14ac:dyDescent="0.3">
      <c r="F1440" s="190"/>
    </row>
    <row r="1441" spans="6:6" x14ac:dyDescent="0.3">
      <c r="F1441" s="190"/>
    </row>
    <row r="1442" spans="6:6" x14ac:dyDescent="0.3">
      <c r="F1442" s="190"/>
    </row>
    <row r="1443" spans="6:6" x14ac:dyDescent="0.3">
      <c r="F1443" s="190"/>
    </row>
    <row r="1444" spans="6:6" x14ac:dyDescent="0.3">
      <c r="F1444" s="190"/>
    </row>
    <row r="1445" spans="6:6" x14ac:dyDescent="0.3">
      <c r="F1445" s="190"/>
    </row>
    <row r="1446" spans="6:6" x14ac:dyDescent="0.3">
      <c r="F1446" s="190"/>
    </row>
    <row r="1447" spans="6:6" x14ac:dyDescent="0.3">
      <c r="F1447" s="190"/>
    </row>
    <row r="1448" spans="6:6" x14ac:dyDescent="0.3">
      <c r="F1448" s="190"/>
    </row>
    <row r="1449" spans="6:6" x14ac:dyDescent="0.3">
      <c r="F1449" s="190"/>
    </row>
    <row r="1450" spans="6:6" x14ac:dyDescent="0.3">
      <c r="F1450" s="190"/>
    </row>
    <row r="1451" spans="6:6" x14ac:dyDescent="0.3">
      <c r="F1451" s="190"/>
    </row>
    <row r="1452" spans="6:6" x14ac:dyDescent="0.3">
      <c r="F1452" s="190"/>
    </row>
    <row r="1453" spans="6:6" x14ac:dyDescent="0.3">
      <c r="F1453" s="190"/>
    </row>
    <row r="1454" spans="6:6" x14ac:dyDescent="0.3">
      <c r="F1454" s="190"/>
    </row>
    <row r="1455" spans="6:6" x14ac:dyDescent="0.3">
      <c r="F1455" s="190"/>
    </row>
    <row r="1456" spans="6:6" x14ac:dyDescent="0.3">
      <c r="F1456" s="190"/>
    </row>
    <row r="1457" spans="6:6" x14ac:dyDescent="0.3">
      <c r="F1457" s="190"/>
    </row>
    <row r="1458" spans="6:6" x14ac:dyDescent="0.3">
      <c r="F1458" s="190"/>
    </row>
    <row r="1459" spans="6:6" x14ac:dyDescent="0.3">
      <c r="F1459" s="190"/>
    </row>
    <row r="1460" spans="6:6" x14ac:dyDescent="0.3">
      <c r="F1460" s="190"/>
    </row>
    <row r="1461" spans="6:6" x14ac:dyDescent="0.3">
      <c r="F1461" s="190"/>
    </row>
    <row r="1462" spans="6:6" x14ac:dyDescent="0.3">
      <c r="F1462" s="190"/>
    </row>
    <row r="1463" spans="6:6" x14ac:dyDescent="0.3">
      <c r="F1463" s="190"/>
    </row>
    <row r="1464" spans="6:6" x14ac:dyDescent="0.3">
      <c r="F1464" s="190"/>
    </row>
    <row r="1465" spans="6:6" x14ac:dyDescent="0.3">
      <c r="F1465" s="190"/>
    </row>
    <row r="1466" spans="6:6" x14ac:dyDescent="0.3">
      <c r="F1466" s="190"/>
    </row>
    <row r="1467" spans="6:6" x14ac:dyDescent="0.3">
      <c r="F1467" s="190"/>
    </row>
    <row r="1468" spans="6:6" x14ac:dyDescent="0.3">
      <c r="F1468" s="190"/>
    </row>
    <row r="1469" spans="6:6" x14ac:dyDescent="0.3">
      <c r="F1469" s="190"/>
    </row>
    <row r="1470" spans="6:6" x14ac:dyDescent="0.3">
      <c r="F1470" s="190"/>
    </row>
    <row r="1471" spans="6:6" x14ac:dyDescent="0.3">
      <c r="F1471" s="190"/>
    </row>
    <row r="1472" spans="6:6" x14ac:dyDescent="0.3">
      <c r="F1472" s="190"/>
    </row>
    <row r="1473" spans="6:6" x14ac:dyDescent="0.3">
      <c r="F1473" s="190"/>
    </row>
    <row r="1474" spans="6:6" x14ac:dyDescent="0.3">
      <c r="F1474" s="190"/>
    </row>
    <row r="1475" spans="6:6" x14ac:dyDescent="0.3">
      <c r="F1475" s="190"/>
    </row>
    <row r="1476" spans="6:6" x14ac:dyDescent="0.3">
      <c r="F1476" s="190"/>
    </row>
    <row r="1477" spans="6:6" x14ac:dyDescent="0.3">
      <c r="F1477" s="190"/>
    </row>
    <row r="1478" spans="6:6" x14ac:dyDescent="0.3">
      <c r="F1478" s="190"/>
    </row>
    <row r="1479" spans="6:6" x14ac:dyDescent="0.3">
      <c r="F1479" s="190"/>
    </row>
    <row r="1480" spans="6:6" x14ac:dyDescent="0.3">
      <c r="F1480" s="190"/>
    </row>
    <row r="1481" spans="6:6" x14ac:dyDescent="0.3">
      <c r="F1481" s="190"/>
    </row>
    <row r="1482" spans="6:6" x14ac:dyDescent="0.3">
      <c r="F1482" s="190"/>
    </row>
    <row r="1483" spans="6:6" x14ac:dyDescent="0.3">
      <c r="F1483" s="190"/>
    </row>
    <row r="1484" spans="6:6" x14ac:dyDescent="0.3">
      <c r="F1484" s="190"/>
    </row>
    <row r="1485" spans="6:6" x14ac:dyDescent="0.3">
      <c r="F1485" s="190"/>
    </row>
    <row r="1486" spans="6:6" x14ac:dyDescent="0.3">
      <c r="F1486" s="190"/>
    </row>
    <row r="1487" spans="6:6" x14ac:dyDescent="0.3">
      <c r="F1487" s="190"/>
    </row>
    <row r="1488" spans="6:6" x14ac:dyDescent="0.3">
      <c r="F1488" s="190"/>
    </row>
    <row r="1489" spans="6:6" x14ac:dyDescent="0.3">
      <c r="F1489" s="190"/>
    </row>
    <row r="1490" spans="6:6" x14ac:dyDescent="0.3">
      <c r="F1490" s="190"/>
    </row>
    <row r="1491" spans="6:6" x14ac:dyDescent="0.3">
      <c r="F1491" s="190"/>
    </row>
    <row r="1492" spans="6:6" x14ac:dyDescent="0.3">
      <c r="F1492" s="190"/>
    </row>
    <row r="1493" spans="6:6" x14ac:dyDescent="0.3">
      <c r="F1493" s="190"/>
    </row>
    <row r="1494" spans="6:6" x14ac:dyDescent="0.3">
      <c r="F1494" s="190"/>
    </row>
    <row r="1495" spans="6:6" x14ac:dyDescent="0.3">
      <c r="F1495" s="190"/>
    </row>
    <row r="1496" spans="6:6" x14ac:dyDescent="0.3">
      <c r="F1496" s="190"/>
    </row>
    <row r="1497" spans="6:6" x14ac:dyDescent="0.3">
      <c r="F1497" s="190"/>
    </row>
    <row r="1498" spans="6:6" x14ac:dyDescent="0.3">
      <c r="F1498" s="190"/>
    </row>
    <row r="1499" spans="6:6" x14ac:dyDescent="0.3">
      <c r="F1499" s="190"/>
    </row>
    <row r="1500" spans="6:6" x14ac:dyDescent="0.3">
      <c r="F1500" s="190"/>
    </row>
    <row r="1501" spans="6:6" x14ac:dyDescent="0.3">
      <c r="F1501" s="190"/>
    </row>
    <row r="1502" spans="6:6" x14ac:dyDescent="0.3">
      <c r="F1502" s="190"/>
    </row>
    <row r="1503" spans="6:6" x14ac:dyDescent="0.3">
      <c r="F1503" s="190"/>
    </row>
    <row r="1504" spans="6:6" x14ac:dyDescent="0.3">
      <c r="F1504" s="190"/>
    </row>
    <row r="1505" spans="6:6" x14ac:dyDescent="0.3">
      <c r="F1505" s="190"/>
    </row>
    <row r="1506" spans="6:6" x14ac:dyDescent="0.3">
      <c r="F1506" s="190"/>
    </row>
    <row r="1507" spans="6:6" x14ac:dyDescent="0.3">
      <c r="F1507" s="190"/>
    </row>
    <row r="1508" spans="6:6" x14ac:dyDescent="0.3">
      <c r="F1508" s="190"/>
    </row>
    <row r="1509" spans="6:6" x14ac:dyDescent="0.3">
      <c r="F1509" s="190"/>
    </row>
    <row r="1510" spans="6:6" x14ac:dyDescent="0.3">
      <c r="F1510" s="190"/>
    </row>
    <row r="1511" spans="6:6" x14ac:dyDescent="0.3">
      <c r="F1511" s="190"/>
    </row>
    <row r="1512" spans="6:6" x14ac:dyDescent="0.3">
      <c r="F1512" s="190"/>
    </row>
    <row r="1513" spans="6:6" x14ac:dyDescent="0.3">
      <c r="F1513" s="190"/>
    </row>
    <row r="1514" spans="6:6" x14ac:dyDescent="0.3">
      <c r="F1514" s="190"/>
    </row>
    <row r="1515" spans="6:6" x14ac:dyDescent="0.3">
      <c r="F1515" s="190"/>
    </row>
    <row r="1516" spans="6:6" x14ac:dyDescent="0.3">
      <c r="F1516" s="190"/>
    </row>
    <row r="1517" spans="6:6" x14ac:dyDescent="0.3">
      <c r="F1517" s="190"/>
    </row>
    <row r="1518" spans="6:6" x14ac:dyDescent="0.3">
      <c r="F1518" s="190"/>
    </row>
    <row r="1519" spans="6:6" x14ac:dyDescent="0.3">
      <c r="F1519" s="190"/>
    </row>
    <row r="1520" spans="6:6" x14ac:dyDescent="0.3">
      <c r="F1520" s="190"/>
    </row>
    <row r="1521" spans="6:6" x14ac:dyDescent="0.3">
      <c r="F1521" s="190"/>
    </row>
    <row r="1522" spans="6:6" x14ac:dyDescent="0.3">
      <c r="F1522" s="190"/>
    </row>
    <row r="1523" spans="6:6" x14ac:dyDescent="0.3">
      <c r="F1523" s="190"/>
    </row>
    <row r="1524" spans="6:6" x14ac:dyDescent="0.3">
      <c r="F1524" s="190"/>
    </row>
    <row r="1525" spans="6:6" x14ac:dyDescent="0.3">
      <c r="F1525" s="190"/>
    </row>
    <row r="1526" spans="6:6" x14ac:dyDescent="0.3">
      <c r="F1526" s="190"/>
    </row>
    <row r="1527" spans="6:6" x14ac:dyDescent="0.3">
      <c r="F1527" s="190"/>
    </row>
    <row r="1528" spans="6:6" x14ac:dyDescent="0.3">
      <c r="F1528" s="190"/>
    </row>
    <row r="1529" spans="6:6" x14ac:dyDescent="0.3">
      <c r="F1529" s="190"/>
    </row>
    <row r="1530" spans="6:6" x14ac:dyDescent="0.3">
      <c r="F1530" s="190"/>
    </row>
    <row r="1531" spans="6:6" x14ac:dyDescent="0.3">
      <c r="F1531" s="190"/>
    </row>
    <row r="1532" spans="6:6" x14ac:dyDescent="0.3">
      <c r="F1532" s="190"/>
    </row>
    <row r="1533" spans="6:6" x14ac:dyDescent="0.3">
      <c r="F1533" s="190"/>
    </row>
    <row r="1534" spans="6:6" x14ac:dyDescent="0.3">
      <c r="F1534" s="190"/>
    </row>
    <row r="1535" spans="6:6" x14ac:dyDescent="0.3">
      <c r="F1535" s="190"/>
    </row>
    <row r="1536" spans="6:6" x14ac:dyDescent="0.3">
      <c r="F1536" s="190"/>
    </row>
    <row r="1537" spans="6:6" x14ac:dyDescent="0.3">
      <c r="F1537" s="190"/>
    </row>
    <row r="1538" spans="6:6" x14ac:dyDescent="0.3">
      <c r="F1538" s="190"/>
    </row>
    <row r="1539" spans="6:6" x14ac:dyDescent="0.3">
      <c r="F1539" s="190"/>
    </row>
    <row r="1540" spans="6:6" x14ac:dyDescent="0.3">
      <c r="F1540" s="190"/>
    </row>
    <row r="1541" spans="6:6" x14ac:dyDescent="0.3">
      <c r="F1541" s="190"/>
    </row>
    <row r="1542" spans="6:6" x14ac:dyDescent="0.3">
      <c r="F1542" s="190"/>
    </row>
    <row r="1543" spans="6:6" x14ac:dyDescent="0.3">
      <c r="F1543" s="190"/>
    </row>
    <row r="1544" spans="6:6" x14ac:dyDescent="0.3">
      <c r="F1544" s="190"/>
    </row>
    <row r="1545" spans="6:6" x14ac:dyDescent="0.3">
      <c r="F1545" s="190"/>
    </row>
    <row r="1546" spans="6:6" x14ac:dyDescent="0.3">
      <c r="F1546" s="190"/>
    </row>
    <row r="1547" spans="6:6" x14ac:dyDescent="0.3">
      <c r="F1547" s="190"/>
    </row>
    <row r="1548" spans="6:6" x14ac:dyDescent="0.3">
      <c r="F1548" s="190"/>
    </row>
    <row r="1549" spans="6:6" x14ac:dyDescent="0.3">
      <c r="F1549" s="190"/>
    </row>
    <row r="1550" spans="6:6" x14ac:dyDescent="0.3">
      <c r="F1550" s="190"/>
    </row>
    <row r="1551" spans="6:6" x14ac:dyDescent="0.3">
      <c r="F1551" s="190"/>
    </row>
    <row r="1552" spans="6:6" x14ac:dyDescent="0.3">
      <c r="F1552" s="190"/>
    </row>
    <row r="1553" spans="6:6" x14ac:dyDescent="0.3">
      <c r="F1553" s="190"/>
    </row>
    <row r="1554" spans="6:6" x14ac:dyDescent="0.3">
      <c r="F1554" s="190"/>
    </row>
    <row r="1555" spans="6:6" x14ac:dyDescent="0.3">
      <c r="F1555" s="190"/>
    </row>
    <row r="1556" spans="6:6" x14ac:dyDescent="0.3">
      <c r="F1556" s="190"/>
    </row>
    <row r="1557" spans="6:6" x14ac:dyDescent="0.3">
      <c r="F1557" s="190"/>
    </row>
    <row r="1558" spans="6:6" x14ac:dyDescent="0.3">
      <c r="F1558" s="190"/>
    </row>
    <row r="1559" spans="6:6" x14ac:dyDescent="0.3">
      <c r="F1559" s="190"/>
    </row>
    <row r="1560" spans="6:6" x14ac:dyDescent="0.3">
      <c r="F1560" s="190"/>
    </row>
    <row r="1561" spans="6:6" x14ac:dyDescent="0.3">
      <c r="F1561" s="190"/>
    </row>
    <row r="1562" spans="6:6" x14ac:dyDescent="0.3">
      <c r="F1562" s="190"/>
    </row>
    <row r="1563" spans="6:6" x14ac:dyDescent="0.3">
      <c r="F1563" s="190"/>
    </row>
    <row r="1564" spans="6:6" x14ac:dyDescent="0.3">
      <c r="F1564" s="190"/>
    </row>
    <row r="1565" spans="6:6" x14ac:dyDescent="0.3">
      <c r="F1565" s="190"/>
    </row>
    <row r="1566" spans="6:6" x14ac:dyDescent="0.3">
      <c r="F1566" s="190"/>
    </row>
    <row r="1567" spans="6:6" x14ac:dyDescent="0.3">
      <c r="F1567" s="190"/>
    </row>
    <row r="1568" spans="6:6" x14ac:dyDescent="0.3">
      <c r="F1568" s="190"/>
    </row>
    <row r="1569" spans="6:6" x14ac:dyDescent="0.3">
      <c r="F1569" s="190"/>
    </row>
    <row r="1570" spans="6:6" x14ac:dyDescent="0.3">
      <c r="F1570" s="190"/>
    </row>
    <row r="1571" spans="6:6" x14ac:dyDescent="0.3">
      <c r="F1571" s="190"/>
    </row>
    <row r="1572" spans="6:6" x14ac:dyDescent="0.3">
      <c r="F1572" s="190"/>
    </row>
    <row r="1573" spans="6:6" x14ac:dyDescent="0.3">
      <c r="F1573" s="190"/>
    </row>
    <row r="1574" spans="6:6" x14ac:dyDescent="0.3">
      <c r="F1574" s="190"/>
    </row>
    <row r="1575" spans="6:6" x14ac:dyDescent="0.3">
      <c r="F1575" s="190"/>
    </row>
    <row r="1576" spans="6:6" x14ac:dyDescent="0.3">
      <c r="F1576" s="190"/>
    </row>
    <row r="1577" spans="6:6" x14ac:dyDescent="0.3">
      <c r="F1577" s="190"/>
    </row>
    <row r="1578" spans="6:6" x14ac:dyDescent="0.3">
      <c r="F1578" s="190"/>
    </row>
    <row r="1579" spans="6:6" x14ac:dyDescent="0.3">
      <c r="F1579" s="190"/>
    </row>
    <row r="1580" spans="6:6" x14ac:dyDescent="0.3">
      <c r="F1580" s="190"/>
    </row>
    <row r="1581" spans="6:6" x14ac:dyDescent="0.3">
      <c r="F1581" s="190"/>
    </row>
    <row r="1582" spans="6:6" x14ac:dyDescent="0.3">
      <c r="F1582" s="190"/>
    </row>
    <row r="1583" spans="6:6" x14ac:dyDescent="0.3">
      <c r="F1583" s="190"/>
    </row>
    <row r="1584" spans="6:6" x14ac:dyDescent="0.3">
      <c r="F1584" s="190"/>
    </row>
    <row r="1585" spans="6:6" x14ac:dyDescent="0.3">
      <c r="F1585" s="190"/>
    </row>
    <row r="1586" spans="6:6" x14ac:dyDescent="0.3">
      <c r="F1586" s="190"/>
    </row>
    <row r="1587" spans="6:6" x14ac:dyDescent="0.3">
      <c r="F1587" s="190"/>
    </row>
    <row r="1588" spans="6:6" x14ac:dyDescent="0.3">
      <c r="F1588" s="190"/>
    </row>
    <row r="1589" spans="6:6" x14ac:dyDescent="0.3">
      <c r="F1589" s="190"/>
    </row>
    <row r="1590" spans="6:6" x14ac:dyDescent="0.3">
      <c r="F1590" s="190"/>
    </row>
    <row r="1591" spans="6:6" x14ac:dyDescent="0.3">
      <c r="F1591" s="190"/>
    </row>
    <row r="1592" spans="6:6" x14ac:dyDescent="0.3">
      <c r="F1592" s="190"/>
    </row>
    <row r="1593" spans="6:6" x14ac:dyDescent="0.3">
      <c r="F1593" s="190"/>
    </row>
    <row r="1594" spans="6:6" x14ac:dyDescent="0.3">
      <c r="F1594" s="190"/>
    </row>
    <row r="1595" spans="6:6" x14ac:dyDescent="0.3">
      <c r="F1595" s="190"/>
    </row>
    <row r="1596" spans="6:6" x14ac:dyDescent="0.3">
      <c r="F1596" s="190"/>
    </row>
    <row r="1597" spans="6:6" x14ac:dyDescent="0.3">
      <c r="F1597" s="190"/>
    </row>
    <row r="1598" spans="6:6" x14ac:dyDescent="0.3">
      <c r="F1598" s="190"/>
    </row>
    <row r="1599" spans="6:6" x14ac:dyDescent="0.3">
      <c r="F1599" s="190"/>
    </row>
    <row r="1600" spans="6:6" x14ac:dyDescent="0.3">
      <c r="F1600" s="190"/>
    </row>
    <row r="1601" spans="6:6" x14ac:dyDescent="0.3">
      <c r="F1601" s="190"/>
    </row>
    <row r="1602" spans="6:6" x14ac:dyDescent="0.3">
      <c r="F1602" s="190"/>
    </row>
    <row r="1603" spans="6:6" x14ac:dyDescent="0.3">
      <c r="F1603" s="190"/>
    </row>
    <row r="1604" spans="6:6" x14ac:dyDescent="0.3">
      <c r="F1604" s="190"/>
    </row>
    <row r="1605" spans="6:6" x14ac:dyDescent="0.3">
      <c r="F1605" s="190"/>
    </row>
    <row r="1606" spans="6:6" x14ac:dyDescent="0.3">
      <c r="F1606" s="190"/>
    </row>
    <row r="1607" spans="6:6" x14ac:dyDescent="0.3">
      <c r="F1607" s="190"/>
    </row>
    <row r="1608" spans="6:6" x14ac:dyDescent="0.3">
      <c r="F1608" s="190"/>
    </row>
    <row r="1609" spans="6:6" x14ac:dyDescent="0.3">
      <c r="F1609" s="190"/>
    </row>
    <row r="1610" spans="6:6" x14ac:dyDescent="0.3">
      <c r="F1610" s="190"/>
    </row>
    <row r="1611" spans="6:6" x14ac:dyDescent="0.3">
      <c r="F1611" s="190"/>
    </row>
    <row r="1612" spans="6:6" x14ac:dyDescent="0.3">
      <c r="F1612" s="190"/>
    </row>
    <row r="1613" spans="6:6" x14ac:dyDescent="0.3">
      <c r="F1613" s="190"/>
    </row>
    <row r="1614" spans="6:6" x14ac:dyDescent="0.3">
      <c r="F1614" s="190"/>
    </row>
    <row r="1615" spans="6:6" x14ac:dyDescent="0.3">
      <c r="F1615" s="190"/>
    </row>
    <row r="1616" spans="6:6" x14ac:dyDescent="0.3">
      <c r="F1616" s="190"/>
    </row>
    <row r="1617" spans="6:6" x14ac:dyDescent="0.3">
      <c r="F1617" s="190"/>
    </row>
    <row r="1618" spans="6:6" x14ac:dyDescent="0.3">
      <c r="F1618" s="190"/>
    </row>
    <row r="1619" spans="6:6" x14ac:dyDescent="0.3">
      <c r="F1619" s="190"/>
    </row>
    <row r="1620" spans="6:6" x14ac:dyDescent="0.3">
      <c r="F1620" s="190"/>
    </row>
    <row r="1621" spans="6:6" x14ac:dyDescent="0.3">
      <c r="F1621" s="190"/>
    </row>
    <row r="1622" spans="6:6" x14ac:dyDescent="0.3">
      <c r="F1622" s="190"/>
    </row>
    <row r="1623" spans="6:6" x14ac:dyDescent="0.3">
      <c r="F1623" s="190"/>
    </row>
    <row r="1624" spans="6:6" x14ac:dyDescent="0.3">
      <c r="F1624" s="190"/>
    </row>
    <row r="1625" spans="6:6" x14ac:dyDescent="0.3">
      <c r="F1625" s="190"/>
    </row>
    <row r="1626" spans="6:6" x14ac:dyDescent="0.3">
      <c r="F1626" s="190"/>
    </row>
    <row r="1627" spans="6:6" x14ac:dyDescent="0.3">
      <c r="F1627" s="190"/>
    </row>
    <row r="1628" spans="6:6" x14ac:dyDescent="0.3">
      <c r="F1628" s="190"/>
    </row>
    <row r="1629" spans="6:6" x14ac:dyDescent="0.3">
      <c r="F1629" s="190"/>
    </row>
    <row r="1630" spans="6:6" x14ac:dyDescent="0.3">
      <c r="F1630" s="190"/>
    </row>
    <row r="1631" spans="6:6" x14ac:dyDescent="0.3">
      <c r="F1631" s="190"/>
    </row>
    <row r="1632" spans="6:6" x14ac:dyDescent="0.3">
      <c r="F1632" s="190"/>
    </row>
    <row r="1633" spans="6:6" x14ac:dyDescent="0.3">
      <c r="F1633" s="190"/>
    </row>
    <row r="1634" spans="6:6" x14ac:dyDescent="0.3">
      <c r="F1634" s="190"/>
    </row>
    <row r="1635" spans="6:6" x14ac:dyDescent="0.3">
      <c r="F1635" s="190"/>
    </row>
    <row r="1636" spans="6:6" x14ac:dyDescent="0.3">
      <c r="F1636" s="190"/>
    </row>
    <row r="1637" spans="6:6" x14ac:dyDescent="0.3">
      <c r="F1637" s="190"/>
    </row>
    <row r="1638" spans="6:6" x14ac:dyDescent="0.3">
      <c r="F1638" s="190"/>
    </row>
    <row r="1639" spans="6:6" x14ac:dyDescent="0.3">
      <c r="F1639" s="190"/>
    </row>
    <row r="1640" spans="6:6" x14ac:dyDescent="0.3">
      <c r="F1640" s="190"/>
    </row>
    <row r="1641" spans="6:6" x14ac:dyDescent="0.3">
      <c r="F1641" s="190"/>
    </row>
    <row r="1642" spans="6:6" x14ac:dyDescent="0.3">
      <c r="F1642" s="190"/>
    </row>
    <row r="1643" spans="6:6" x14ac:dyDescent="0.3">
      <c r="F1643" s="190"/>
    </row>
    <row r="1644" spans="6:6" x14ac:dyDescent="0.3">
      <c r="F1644" s="190"/>
    </row>
    <row r="1645" spans="6:6" x14ac:dyDescent="0.3">
      <c r="F1645" s="190"/>
    </row>
    <row r="1646" spans="6:6" x14ac:dyDescent="0.3">
      <c r="F1646" s="190"/>
    </row>
    <row r="1647" spans="6:6" x14ac:dyDescent="0.3">
      <c r="F1647" s="190"/>
    </row>
    <row r="1648" spans="6:6" x14ac:dyDescent="0.3">
      <c r="F1648" s="190"/>
    </row>
    <row r="1649" spans="6:6" x14ac:dyDescent="0.3">
      <c r="F1649" s="190"/>
    </row>
    <row r="1650" spans="6:6" x14ac:dyDescent="0.3">
      <c r="F1650" s="190"/>
    </row>
    <row r="1651" spans="6:6" x14ac:dyDescent="0.3">
      <c r="F1651" s="190"/>
    </row>
    <row r="1652" spans="6:6" x14ac:dyDescent="0.3">
      <c r="F1652" s="190"/>
    </row>
    <row r="1653" spans="6:6" x14ac:dyDescent="0.3">
      <c r="F1653" s="190"/>
    </row>
    <row r="1654" spans="6:6" x14ac:dyDescent="0.3">
      <c r="F1654" s="190"/>
    </row>
    <row r="1655" spans="6:6" x14ac:dyDescent="0.3">
      <c r="F1655" s="190"/>
    </row>
    <row r="1656" spans="6:6" x14ac:dyDescent="0.3">
      <c r="F1656" s="190"/>
    </row>
    <row r="1657" spans="6:6" x14ac:dyDescent="0.3">
      <c r="F1657" s="190"/>
    </row>
    <row r="1658" spans="6:6" x14ac:dyDescent="0.3">
      <c r="F1658" s="190"/>
    </row>
    <row r="1659" spans="6:6" x14ac:dyDescent="0.3">
      <c r="F1659" s="190"/>
    </row>
    <row r="1660" spans="6:6" x14ac:dyDescent="0.3">
      <c r="F1660" s="190"/>
    </row>
    <row r="1661" spans="6:6" x14ac:dyDescent="0.3">
      <c r="F1661" s="190"/>
    </row>
    <row r="1662" spans="6:6" x14ac:dyDescent="0.3">
      <c r="F1662" s="190"/>
    </row>
    <row r="1663" spans="6:6" x14ac:dyDescent="0.3">
      <c r="F1663" s="190"/>
    </row>
    <row r="1664" spans="6:6" x14ac:dyDescent="0.3">
      <c r="F1664" s="190"/>
    </row>
    <row r="1665" spans="6:6" x14ac:dyDescent="0.3">
      <c r="F1665" s="190"/>
    </row>
    <row r="1666" spans="6:6" x14ac:dyDescent="0.3">
      <c r="F1666" s="190"/>
    </row>
    <row r="1667" spans="6:6" x14ac:dyDescent="0.3">
      <c r="F1667" s="190"/>
    </row>
    <row r="1668" spans="6:6" x14ac:dyDescent="0.3">
      <c r="F1668" s="190"/>
    </row>
    <row r="1669" spans="6:6" x14ac:dyDescent="0.3">
      <c r="F1669" s="190"/>
    </row>
    <row r="1670" spans="6:6" x14ac:dyDescent="0.3">
      <c r="F1670" s="190"/>
    </row>
    <row r="1671" spans="6:6" x14ac:dyDescent="0.3">
      <c r="F1671" s="190"/>
    </row>
    <row r="1672" spans="6:6" x14ac:dyDescent="0.3">
      <c r="F1672" s="190"/>
    </row>
    <row r="1673" spans="6:6" x14ac:dyDescent="0.3">
      <c r="F1673" s="190"/>
    </row>
    <row r="1674" spans="6:6" x14ac:dyDescent="0.3">
      <c r="F1674" s="190"/>
    </row>
    <row r="1675" spans="6:6" x14ac:dyDescent="0.3">
      <c r="F1675" s="190"/>
    </row>
    <row r="1676" spans="6:6" x14ac:dyDescent="0.3">
      <c r="F1676" s="190"/>
    </row>
    <row r="1677" spans="6:6" x14ac:dyDescent="0.3">
      <c r="F1677" s="190"/>
    </row>
    <row r="1678" spans="6:6" x14ac:dyDescent="0.3">
      <c r="F1678" s="190"/>
    </row>
    <row r="1679" spans="6:6" x14ac:dyDescent="0.3">
      <c r="F1679" s="190"/>
    </row>
    <row r="1680" spans="6:6" x14ac:dyDescent="0.3">
      <c r="F1680" s="190"/>
    </row>
    <row r="1681" spans="6:6" x14ac:dyDescent="0.3">
      <c r="F1681" s="190"/>
    </row>
    <row r="1682" spans="6:6" x14ac:dyDescent="0.3">
      <c r="F1682" s="190"/>
    </row>
    <row r="1683" spans="6:6" x14ac:dyDescent="0.3">
      <c r="F1683" s="190"/>
    </row>
    <row r="1684" spans="6:6" x14ac:dyDescent="0.3">
      <c r="F1684" s="190"/>
    </row>
    <row r="1685" spans="6:6" x14ac:dyDescent="0.3">
      <c r="F1685" s="190"/>
    </row>
    <row r="1686" spans="6:6" x14ac:dyDescent="0.3">
      <c r="F1686" s="190"/>
    </row>
    <row r="1687" spans="6:6" x14ac:dyDescent="0.3">
      <c r="F1687" s="190"/>
    </row>
    <row r="1688" spans="6:6" x14ac:dyDescent="0.3">
      <c r="F1688" s="190"/>
    </row>
    <row r="1689" spans="6:6" x14ac:dyDescent="0.3">
      <c r="F1689" s="190"/>
    </row>
    <row r="1690" spans="6:6" x14ac:dyDescent="0.3">
      <c r="F1690" s="190"/>
    </row>
    <row r="1691" spans="6:6" x14ac:dyDescent="0.3">
      <c r="F1691" s="190"/>
    </row>
    <row r="1692" spans="6:6" x14ac:dyDescent="0.3">
      <c r="F1692" s="190"/>
    </row>
    <row r="1693" spans="6:6" x14ac:dyDescent="0.3">
      <c r="F1693" s="190"/>
    </row>
    <row r="1694" spans="6:6" x14ac:dyDescent="0.3">
      <c r="F1694" s="190"/>
    </row>
    <row r="1695" spans="6:6" x14ac:dyDescent="0.3">
      <c r="F1695" s="190"/>
    </row>
    <row r="1696" spans="6:6" x14ac:dyDescent="0.3">
      <c r="F1696" s="190"/>
    </row>
    <row r="1697" spans="6:6" x14ac:dyDescent="0.3">
      <c r="F1697" s="190"/>
    </row>
    <row r="1698" spans="6:6" x14ac:dyDescent="0.3">
      <c r="F1698" s="190"/>
    </row>
    <row r="1699" spans="6:6" x14ac:dyDescent="0.3">
      <c r="F1699" s="190"/>
    </row>
    <row r="1700" spans="6:6" x14ac:dyDescent="0.3">
      <c r="F1700" s="190"/>
    </row>
    <row r="1701" spans="6:6" x14ac:dyDescent="0.3">
      <c r="F1701" s="190"/>
    </row>
    <row r="1702" spans="6:6" x14ac:dyDescent="0.3">
      <c r="F1702" s="190"/>
    </row>
    <row r="1703" spans="6:6" x14ac:dyDescent="0.3">
      <c r="F1703" s="190"/>
    </row>
    <row r="1704" spans="6:6" x14ac:dyDescent="0.3">
      <c r="F1704" s="190"/>
    </row>
    <row r="1705" spans="6:6" x14ac:dyDescent="0.3">
      <c r="F1705" s="190"/>
    </row>
    <row r="1706" spans="6:6" x14ac:dyDescent="0.3">
      <c r="F1706" s="190"/>
    </row>
    <row r="1707" spans="6:6" x14ac:dyDescent="0.3">
      <c r="F1707" s="190"/>
    </row>
    <row r="1708" spans="6:6" x14ac:dyDescent="0.3">
      <c r="F1708" s="190"/>
    </row>
    <row r="1709" spans="6:6" x14ac:dyDescent="0.3">
      <c r="F1709" s="190"/>
    </row>
    <row r="1710" spans="6:6" x14ac:dyDescent="0.3">
      <c r="F1710" s="190"/>
    </row>
    <row r="1711" spans="6:6" x14ac:dyDescent="0.3">
      <c r="F1711" s="190"/>
    </row>
    <row r="1712" spans="6:6" x14ac:dyDescent="0.3">
      <c r="F1712" s="190"/>
    </row>
    <row r="1713" spans="6:6" x14ac:dyDescent="0.3">
      <c r="F1713" s="190"/>
    </row>
    <row r="1714" spans="6:6" x14ac:dyDescent="0.3">
      <c r="F1714" s="190"/>
    </row>
    <row r="1715" spans="6:6" x14ac:dyDescent="0.3">
      <c r="F1715" s="190"/>
    </row>
    <row r="1716" spans="6:6" x14ac:dyDescent="0.3">
      <c r="F1716" s="190"/>
    </row>
    <row r="1717" spans="6:6" x14ac:dyDescent="0.3">
      <c r="F1717" s="190"/>
    </row>
    <row r="1718" spans="6:6" x14ac:dyDescent="0.3">
      <c r="F1718" s="190"/>
    </row>
    <row r="1719" spans="6:6" x14ac:dyDescent="0.3">
      <c r="F1719" s="190"/>
    </row>
    <row r="1720" spans="6:6" x14ac:dyDescent="0.3">
      <c r="F1720" s="190"/>
    </row>
    <row r="1721" spans="6:6" x14ac:dyDescent="0.3">
      <c r="F1721" s="190"/>
    </row>
    <row r="1722" spans="6:6" x14ac:dyDescent="0.3">
      <c r="F1722" s="190"/>
    </row>
    <row r="1723" spans="6:6" x14ac:dyDescent="0.3">
      <c r="F1723" s="190"/>
    </row>
    <row r="1724" spans="6:6" x14ac:dyDescent="0.3">
      <c r="F1724" s="190"/>
    </row>
    <row r="1725" spans="6:6" x14ac:dyDescent="0.3">
      <c r="F1725" s="190"/>
    </row>
    <row r="1726" spans="6:6" x14ac:dyDescent="0.3">
      <c r="F1726" s="190"/>
    </row>
    <row r="1727" spans="6:6" x14ac:dyDescent="0.3">
      <c r="F1727" s="190"/>
    </row>
    <row r="1728" spans="6:6" x14ac:dyDescent="0.3">
      <c r="F1728" s="190"/>
    </row>
    <row r="1729" spans="6:6" x14ac:dyDescent="0.3">
      <c r="F1729" s="190"/>
    </row>
    <row r="1730" spans="6:6" x14ac:dyDescent="0.3">
      <c r="F1730" s="190"/>
    </row>
    <row r="1731" spans="6:6" x14ac:dyDescent="0.3">
      <c r="F1731" s="190"/>
    </row>
    <row r="1732" spans="6:6" x14ac:dyDescent="0.3">
      <c r="F1732" s="190"/>
    </row>
    <row r="1733" spans="6:6" x14ac:dyDescent="0.3">
      <c r="F1733" s="190"/>
    </row>
    <row r="1734" spans="6:6" x14ac:dyDescent="0.3">
      <c r="F1734" s="190"/>
    </row>
    <row r="1735" spans="6:6" x14ac:dyDescent="0.3">
      <c r="F1735" s="190"/>
    </row>
    <row r="1736" spans="6:6" x14ac:dyDescent="0.3">
      <c r="F1736" s="190"/>
    </row>
    <row r="1737" spans="6:6" x14ac:dyDescent="0.3">
      <c r="F1737" s="190"/>
    </row>
    <row r="1738" spans="6:6" x14ac:dyDescent="0.3">
      <c r="F1738" s="190"/>
    </row>
    <row r="1739" spans="6:6" x14ac:dyDescent="0.3">
      <c r="F1739" s="190"/>
    </row>
    <row r="1740" spans="6:6" x14ac:dyDescent="0.3">
      <c r="F1740" s="190"/>
    </row>
    <row r="1741" spans="6:6" x14ac:dyDescent="0.3">
      <c r="F1741" s="190"/>
    </row>
    <row r="1742" spans="6:6" x14ac:dyDescent="0.3">
      <c r="F1742" s="190"/>
    </row>
    <row r="1743" spans="6:6" x14ac:dyDescent="0.3">
      <c r="F1743" s="190"/>
    </row>
    <row r="1744" spans="6:6" x14ac:dyDescent="0.3">
      <c r="F1744" s="190"/>
    </row>
    <row r="1745" spans="6:6" x14ac:dyDescent="0.3">
      <c r="F1745" s="190"/>
    </row>
    <row r="1746" spans="6:6" x14ac:dyDescent="0.3">
      <c r="F1746" s="190"/>
    </row>
    <row r="1747" spans="6:6" x14ac:dyDescent="0.3">
      <c r="F1747" s="190"/>
    </row>
    <row r="1748" spans="6:6" x14ac:dyDescent="0.3">
      <c r="F1748" s="190"/>
    </row>
    <row r="1749" spans="6:6" x14ac:dyDescent="0.3">
      <c r="F1749" s="190"/>
    </row>
    <row r="1750" spans="6:6" x14ac:dyDescent="0.3">
      <c r="F1750" s="190"/>
    </row>
    <row r="1751" spans="6:6" x14ac:dyDescent="0.3">
      <c r="F1751" s="190"/>
    </row>
    <row r="1752" spans="6:6" x14ac:dyDescent="0.3">
      <c r="F1752" s="190"/>
    </row>
    <row r="1753" spans="6:6" x14ac:dyDescent="0.3">
      <c r="F1753" s="190"/>
    </row>
    <row r="1754" spans="6:6" x14ac:dyDescent="0.3">
      <c r="F1754" s="190"/>
    </row>
    <row r="1755" spans="6:6" x14ac:dyDescent="0.3">
      <c r="F1755" s="190"/>
    </row>
    <row r="1756" spans="6:6" x14ac:dyDescent="0.3">
      <c r="F1756" s="190"/>
    </row>
    <row r="1757" spans="6:6" x14ac:dyDescent="0.3">
      <c r="F1757" s="190"/>
    </row>
    <row r="1758" spans="6:6" x14ac:dyDescent="0.3">
      <c r="F1758" s="190"/>
    </row>
    <row r="1759" spans="6:6" x14ac:dyDescent="0.3">
      <c r="F1759" s="190"/>
    </row>
    <row r="1760" spans="6:6" x14ac:dyDescent="0.3">
      <c r="F1760" s="190"/>
    </row>
    <row r="1761" spans="6:6" x14ac:dyDescent="0.3">
      <c r="F1761" s="190"/>
    </row>
    <row r="1762" spans="6:6" x14ac:dyDescent="0.3">
      <c r="F1762" s="190"/>
    </row>
    <row r="1763" spans="6:6" x14ac:dyDescent="0.3">
      <c r="F1763" s="190"/>
    </row>
    <row r="1764" spans="6:6" x14ac:dyDescent="0.3">
      <c r="F1764" s="190"/>
    </row>
    <row r="1765" spans="6:6" x14ac:dyDescent="0.3">
      <c r="F1765" s="190"/>
    </row>
    <row r="1766" spans="6:6" x14ac:dyDescent="0.3">
      <c r="F1766" s="190"/>
    </row>
    <row r="1767" spans="6:6" x14ac:dyDescent="0.3">
      <c r="F1767" s="190"/>
    </row>
    <row r="1768" spans="6:6" x14ac:dyDescent="0.3">
      <c r="F1768" s="190"/>
    </row>
    <row r="1769" spans="6:6" x14ac:dyDescent="0.3">
      <c r="F1769" s="190"/>
    </row>
    <row r="1770" spans="6:6" x14ac:dyDescent="0.3">
      <c r="F1770" s="190"/>
    </row>
    <row r="1771" spans="6:6" x14ac:dyDescent="0.3">
      <c r="F1771" s="190"/>
    </row>
    <row r="1772" spans="6:6" x14ac:dyDescent="0.3">
      <c r="F1772" s="190"/>
    </row>
    <row r="1773" spans="6:6" x14ac:dyDescent="0.3">
      <c r="F1773" s="190"/>
    </row>
    <row r="1774" spans="6:6" x14ac:dyDescent="0.3">
      <c r="F1774" s="190"/>
    </row>
    <row r="1775" spans="6:6" x14ac:dyDescent="0.3">
      <c r="F1775" s="190"/>
    </row>
    <row r="1776" spans="6:6" x14ac:dyDescent="0.3">
      <c r="F1776" s="190"/>
    </row>
    <row r="1777" spans="6:6" x14ac:dyDescent="0.3">
      <c r="F1777" s="190"/>
    </row>
    <row r="1778" spans="6:6" x14ac:dyDescent="0.3">
      <c r="F1778" s="190"/>
    </row>
    <row r="1779" spans="6:6" x14ac:dyDescent="0.3">
      <c r="F1779" s="190"/>
    </row>
    <row r="1780" spans="6:6" x14ac:dyDescent="0.3">
      <c r="F1780" s="190"/>
    </row>
    <row r="1781" spans="6:6" x14ac:dyDescent="0.3">
      <c r="F1781" s="190"/>
    </row>
    <row r="1782" spans="6:6" x14ac:dyDescent="0.3">
      <c r="F1782" s="190"/>
    </row>
    <row r="1783" spans="6:6" x14ac:dyDescent="0.3">
      <c r="F1783" s="190"/>
    </row>
    <row r="1784" spans="6:6" x14ac:dyDescent="0.3">
      <c r="F1784" s="190"/>
    </row>
    <row r="1785" spans="6:6" x14ac:dyDescent="0.3">
      <c r="F1785" s="190"/>
    </row>
    <row r="1786" spans="6:6" x14ac:dyDescent="0.3">
      <c r="F1786" s="190"/>
    </row>
    <row r="1787" spans="6:6" x14ac:dyDescent="0.3">
      <c r="F1787" s="190"/>
    </row>
    <row r="1788" spans="6:6" x14ac:dyDescent="0.3">
      <c r="F1788" s="190"/>
    </row>
    <row r="1789" spans="6:6" x14ac:dyDescent="0.3">
      <c r="F1789" s="190"/>
    </row>
    <row r="1790" spans="6:6" x14ac:dyDescent="0.3">
      <c r="F1790" s="190"/>
    </row>
    <row r="1791" spans="6:6" x14ac:dyDescent="0.3">
      <c r="F1791" s="190"/>
    </row>
    <row r="1792" spans="6:6" x14ac:dyDescent="0.3">
      <c r="F1792" s="190"/>
    </row>
    <row r="1793" spans="6:6" x14ac:dyDescent="0.3">
      <c r="F1793" s="190"/>
    </row>
    <row r="1794" spans="6:6" x14ac:dyDescent="0.3">
      <c r="F1794" s="190"/>
    </row>
    <row r="1795" spans="6:6" x14ac:dyDescent="0.3">
      <c r="F1795" s="190"/>
    </row>
    <row r="1796" spans="6:6" x14ac:dyDescent="0.3">
      <c r="F1796" s="190"/>
    </row>
    <row r="1797" spans="6:6" x14ac:dyDescent="0.3">
      <c r="F1797" s="190"/>
    </row>
    <row r="1798" spans="6:6" x14ac:dyDescent="0.3">
      <c r="F1798" s="190"/>
    </row>
    <row r="1799" spans="6:6" x14ac:dyDescent="0.3">
      <c r="F1799" s="190"/>
    </row>
    <row r="1800" spans="6:6" x14ac:dyDescent="0.3">
      <c r="F1800" s="190"/>
    </row>
    <row r="1801" spans="6:6" x14ac:dyDescent="0.3">
      <c r="F1801" s="190"/>
    </row>
    <row r="1802" spans="6:6" x14ac:dyDescent="0.3">
      <c r="F1802" s="190"/>
    </row>
    <row r="1803" spans="6:6" x14ac:dyDescent="0.3">
      <c r="F1803" s="190"/>
    </row>
    <row r="1804" spans="6:6" x14ac:dyDescent="0.3">
      <c r="F1804" s="190"/>
    </row>
    <row r="1805" spans="6:6" x14ac:dyDescent="0.3">
      <c r="F1805" s="190"/>
    </row>
    <row r="1806" spans="6:6" x14ac:dyDescent="0.3">
      <c r="F1806" s="190"/>
    </row>
    <row r="1807" spans="6:6" x14ac:dyDescent="0.3">
      <c r="F1807" s="190"/>
    </row>
    <row r="1808" spans="6:6" x14ac:dyDescent="0.3">
      <c r="F1808" s="190"/>
    </row>
    <row r="1809" spans="6:6" x14ac:dyDescent="0.3">
      <c r="F1809" s="190"/>
    </row>
    <row r="1810" spans="6:6" x14ac:dyDescent="0.3">
      <c r="F1810" s="190"/>
    </row>
    <row r="1811" spans="6:6" x14ac:dyDescent="0.3">
      <c r="F1811" s="190"/>
    </row>
    <row r="1812" spans="6:6" x14ac:dyDescent="0.3">
      <c r="F1812" s="190"/>
    </row>
    <row r="1813" spans="6:6" x14ac:dyDescent="0.3">
      <c r="F1813" s="190"/>
    </row>
    <row r="1814" spans="6:6" x14ac:dyDescent="0.3">
      <c r="F1814" s="190"/>
    </row>
    <row r="1815" spans="6:6" x14ac:dyDescent="0.3">
      <c r="F1815" s="190"/>
    </row>
    <row r="1816" spans="6:6" x14ac:dyDescent="0.3">
      <c r="F1816" s="190"/>
    </row>
    <row r="1817" spans="6:6" x14ac:dyDescent="0.3">
      <c r="F1817" s="190"/>
    </row>
    <row r="1818" spans="6:6" x14ac:dyDescent="0.3">
      <c r="F1818" s="190"/>
    </row>
    <row r="1819" spans="6:6" x14ac:dyDescent="0.3">
      <c r="F1819" s="190"/>
    </row>
    <row r="1820" spans="6:6" x14ac:dyDescent="0.3">
      <c r="F1820" s="190"/>
    </row>
    <row r="1821" spans="6:6" x14ac:dyDescent="0.3">
      <c r="F1821" s="190"/>
    </row>
    <row r="1822" spans="6:6" x14ac:dyDescent="0.3">
      <c r="F1822" s="190"/>
    </row>
    <row r="1823" spans="6:6" x14ac:dyDescent="0.3">
      <c r="F1823" s="190"/>
    </row>
    <row r="1824" spans="6:6" x14ac:dyDescent="0.3">
      <c r="F1824" s="190"/>
    </row>
    <row r="1825" spans="6:6" x14ac:dyDescent="0.3">
      <c r="F1825" s="190"/>
    </row>
    <row r="1826" spans="6:6" x14ac:dyDescent="0.3">
      <c r="F1826" s="190"/>
    </row>
    <row r="1827" spans="6:6" x14ac:dyDescent="0.3">
      <c r="F1827" s="190"/>
    </row>
    <row r="1828" spans="6:6" x14ac:dyDescent="0.3">
      <c r="F1828" s="190"/>
    </row>
    <row r="1829" spans="6:6" x14ac:dyDescent="0.3">
      <c r="F1829" s="190"/>
    </row>
    <row r="1830" spans="6:6" x14ac:dyDescent="0.3">
      <c r="F1830" s="190"/>
    </row>
    <row r="1831" spans="6:6" x14ac:dyDescent="0.3">
      <c r="F1831" s="190"/>
    </row>
    <row r="1832" spans="6:6" x14ac:dyDescent="0.3">
      <c r="F1832" s="190"/>
    </row>
    <row r="1833" spans="6:6" x14ac:dyDescent="0.3">
      <c r="F1833" s="190"/>
    </row>
    <row r="1834" spans="6:6" x14ac:dyDescent="0.3">
      <c r="F1834" s="190"/>
    </row>
    <row r="1835" spans="6:6" x14ac:dyDescent="0.3">
      <c r="F1835" s="190"/>
    </row>
    <row r="1836" spans="6:6" x14ac:dyDescent="0.3">
      <c r="F1836" s="190"/>
    </row>
    <row r="1837" spans="6:6" x14ac:dyDescent="0.3">
      <c r="F1837" s="190"/>
    </row>
    <row r="1838" spans="6:6" x14ac:dyDescent="0.3">
      <c r="F1838" s="190"/>
    </row>
    <row r="1839" spans="6:6" x14ac:dyDescent="0.3">
      <c r="F1839" s="190"/>
    </row>
    <row r="1840" spans="6:6" x14ac:dyDescent="0.3">
      <c r="F1840" s="190"/>
    </row>
    <row r="1841" spans="6:6" x14ac:dyDescent="0.3">
      <c r="F1841" s="190"/>
    </row>
    <row r="1842" spans="6:6" x14ac:dyDescent="0.3">
      <c r="F1842" s="190"/>
    </row>
    <row r="1843" spans="6:6" x14ac:dyDescent="0.3">
      <c r="F1843" s="190"/>
    </row>
    <row r="1844" spans="6:6" x14ac:dyDescent="0.3">
      <c r="F1844" s="190"/>
    </row>
    <row r="1845" spans="6:6" x14ac:dyDescent="0.3">
      <c r="F1845" s="190"/>
    </row>
    <row r="1846" spans="6:6" x14ac:dyDescent="0.3">
      <c r="F1846" s="190"/>
    </row>
    <row r="1847" spans="6:6" x14ac:dyDescent="0.3">
      <c r="F1847" s="190"/>
    </row>
    <row r="1848" spans="6:6" x14ac:dyDescent="0.3">
      <c r="F1848" s="190"/>
    </row>
    <row r="1849" spans="6:6" x14ac:dyDescent="0.3">
      <c r="F1849" s="190"/>
    </row>
    <row r="1850" spans="6:6" x14ac:dyDescent="0.3">
      <c r="F1850" s="190"/>
    </row>
    <row r="1851" spans="6:6" x14ac:dyDescent="0.3">
      <c r="F1851" s="190"/>
    </row>
    <row r="1852" spans="6:6" x14ac:dyDescent="0.3">
      <c r="F1852" s="190"/>
    </row>
    <row r="1853" spans="6:6" x14ac:dyDescent="0.3">
      <c r="F1853" s="190"/>
    </row>
    <row r="1854" spans="6:6" x14ac:dyDescent="0.3">
      <c r="F1854" s="190"/>
    </row>
    <row r="1855" spans="6:6" x14ac:dyDescent="0.3">
      <c r="F1855" s="190"/>
    </row>
    <row r="1856" spans="6:6" x14ac:dyDescent="0.3">
      <c r="F1856" s="190"/>
    </row>
    <row r="1857" spans="6:6" x14ac:dyDescent="0.3">
      <c r="F1857" s="190"/>
    </row>
    <row r="1858" spans="6:6" x14ac:dyDescent="0.3">
      <c r="F1858" s="190"/>
    </row>
    <row r="1859" spans="6:6" x14ac:dyDescent="0.3">
      <c r="F1859" s="190"/>
    </row>
    <row r="1860" spans="6:6" x14ac:dyDescent="0.3">
      <c r="F1860" s="190"/>
    </row>
    <row r="1861" spans="6:6" x14ac:dyDescent="0.3">
      <c r="F1861" s="190"/>
    </row>
    <row r="1862" spans="6:6" x14ac:dyDescent="0.3">
      <c r="F1862" s="190"/>
    </row>
    <row r="1863" spans="6:6" x14ac:dyDescent="0.3">
      <c r="F1863" s="190"/>
    </row>
    <row r="1864" spans="6:6" x14ac:dyDescent="0.3">
      <c r="F1864" s="190"/>
    </row>
    <row r="1865" spans="6:6" x14ac:dyDescent="0.3">
      <c r="F1865" s="190"/>
    </row>
    <row r="1866" spans="6:6" x14ac:dyDescent="0.3">
      <c r="F1866" s="190"/>
    </row>
    <row r="1867" spans="6:6" x14ac:dyDescent="0.3">
      <c r="F1867" s="190"/>
    </row>
    <row r="1868" spans="6:6" x14ac:dyDescent="0.3">
      <c r="F1868" s="190"/>
    </row>
    <row r="1869" spans="6:6" x14ac:dyDescent="0.3">
      <c r="F1869" s="190"/>
    </row>
    <row r="1870" spans="6:6" x14ac:dyDescent="0.3">
      <c r="F1870" s="190"/>
    </row>
    <row r="1871" spans="6:6" x14ac:dyDescent="0.3">
      <c r="F1871" s="190"/>
    </row>
    <row r="1872" spans="6:6" x14ac:dyDescent="0.3">
      <c r="F1872" s="190"/>
    </row>
    <row r="1873" spans="6:6" x14ac:dyDescent="0.3">
      <c r="F1873" s="190"/>
    </row>
    <row r="1874" spans="6:6" x14ac:dyDescent="0.3">
      <c r="F1874" s="190"/>
    </row>
    <row r="1875" spans="6:6" x14ac:dyDescent="0.3">
      <c r="F1875" s="190"/>
    </row>
    <row r="1876" spans="6:6" x14ac:dyDescent="0.3">
      <c r="F1876" s="190"/>
    </row>
    <row r="1877" spans="6:6" x14ac:dyDescent="0.3">
      <c r="F1877" s="190"/>
    </row>
    <row r="1878" spans="6:6" x14ac:dyDescent="0.3">
      <c r="F1878" s="190"/>
    </row>
    <row r="1879" spans="6:6" x14ac:dyDescent="0.3">
      <c r="F1879" s="190"/>
    </row>
    <row r="1880" spans="6:6" x14ac:dyDescent="0.3">
      <c r="F1880" s="190"/>
    </row>
    <row r="1881" spans="6:6" x14ac:dyDescent="0.3">
      <c r="F1881" s="190"/>
    </row>
    <row r="1882" spans="6:6" x14ac:dyDescent="0.3">
      <c r="F1882" s="190"/>
    </row>
    <row r="1883" spans="6:6" x14ac:dyDescent="0.3">
      <c r="F1883" s="190"/>
    </row>
    <row r="1884" spans="6:6" x14ac:dyDescent="0.3">
      <c r="F1884" s="190"/>
    </row>
    <row r="1885" spans="6:6" x14ac:dyDescent="0.3">
      <c r="F1885" s="190"/>
    </row>
    <row r="1886" spans="6:6" x14ac:dyDescent="0.3">
      <c r="F1886" s="190"/>
    </row>
    <row r="1887" spans="6:6" x14ac:dyDescent="0.3">
      <c r="F1887" s="190"/>
    </row>
    <row r="1888" spans="6:6" x14ac:dyDescent="0.3">
      <c r="F1888" s="190"/>
    </row>
    <row r="1889" spans="6:6" x14ac:dyDescent="0.3">
      <c r="F1889" s="190"/>
    </row>
    <row r="1890" spans="6:6" x14ac:dyDescent="0.3">
      <c r="F1890" s="190"/>
    </row>
    <row r="1891" spans="6:6" x14ac:dyDescent="0.3">
      <c r="F1891" s="190"/>
    </row>
    <row r="1892" spans="6:6" x14ac:dyDescent="0.3">
      <c r="F1892" s="190"/>
    </row>
    <row r="1893" spans="6:6" x14ac:dyDescent="0.3">
      <c r="F1893" s="190"/>
    </row>
    <row r="1894" spans="6:6" x14ac:dyDescent="0.3">
      <c r="F1894" s="190"/>
    </row>
    <row r="1895" spans="6:6" x14ac:dyDescent="0.3">
      <c r="F1895" s="190"/>
    </row>
    <row r="1896" spans="6:6" x14ac:dyDescent="0.3">
      <c r="F1896" s="190"/>
    </row>
    <row r="1897" spans="6:6" x14ac:dyDescent="0.3">
      <c r="F1897" s="190"/>
    </row>
    <row r="1898" spans="6:6" x14ac:dyDescent="0.3">
      <c r="F1898" s="190"/>
    </row>
    <row r="1899" spans="6:6" x14ac:dyDescent="0.3">
      <c r="F1899" s="190"/>
    </row>
    <row r="1900" spans="6:6" x14ac:dyDescent="0.3">
      <c r="F1900" s="190"/>
    </row>
    <row r="1901" spans="6:6" x14ac:dyDescent="0.3">
      <c r="F1901" s="190"/>
    </row>
    <row r="1902" spans="6:6" x14ac:dyDescent="0.3">
      <c r="F1902" s="190"/>
    </row>
    <row r="1903" spans="6:6" x14ac:dyDescent="0.3">
      <c r="F1903" s="190"/>
    </row>
    <row r="1904" spans="6:6" x14ac:dyDescent="0.3">
      <c r="F1904" s="190"/>
    </row>
    <row r="1905" spans="6:6" x14ac:dyDescent="0.3">
      <c r="F1905" s="190"/>
    </row>
    <row r="1906" spans="6:6" x14ac:dyDescent="0.3">
      <c r="F1906" s="190"/>
    </row>
    <row r="1907" spans="6:6" x14ac:dyDescent="0.3">
      <c r="F1907" s="190"/>
    </row>
    <row r="1908" spans="6:6" x14ac:dyDescent="0.3">
      <c r="F1908" s="190"/>
    </row>
    <row r="1909" spans="6:6" x14ac:dyDescent="0.3">
      <c r="F1909" s="190"/>
    </row>
    <row r="1910" spans="6:6" x14ac:dyDescent="0.3">
      <c r="F1910" s="190"/>
    </row>
    <row r="1911" spans="6:6" x14ac:dyDescent="0.3">
      <c r="F1911" s="190"/>
    </row>
    <row r="1912" spans="6:6" x14ac:dyDescent="0.3">
      <c r="F1912" s="190"/>
    </row>
    <row r="1913" spans="6:6" x14ac:dyDescent="0.3">
      <c r="F1913" s="190"/>
    </row>
    <row r="1914" spans="6:6" x14ac:dyDescent="0.3">
      <c r="F1914" s="190"/>
    </row>
    <row r="1915" spans="6:6" x14ac:dyDescent="0.3">
      <c r="F1915" s="190"/>
    </row>
    <row r="1916" spans="6:6" x14ac:dyDescent="0.3">
      <c r="F1916" s="190"/>
    </row>
    <row r="1917" spans="6:6" x14ac:dyDescent="0.3">
      <c r="F1917" s="190"/>
    </row>
    <row r="1918" spans="6:6" x14ac:dyDescent="0.3">
      <c r="F1918" s="190"/>
    </row>
    <row r="1919" spans="6:6" x14ac:dyDescent="0.3">
      <c r="F1919" s="190"/>
    </row>
    <row r="1920" spans="6:6" x14ac:dyDescent="0.3">
      <c r="F1920" s="190"/>
    </row>
    <row r="1921" spans="6:6" x14ac:dyDescent="0.3">
      <c r="F1921" s="190"/>
    </row>
    <row r="1922" spans="6:6" x14ac:dyDescent="0.3">
      <c r="F1922" s="190"/>
    </row>
    <row r="1923" spans="6:6" x14ac:dyDescent="0.3">
      <c r="F1923" s="190"/>
    </row>
    <row r="1924" spans="6:6" x14ac:dyDescent="0.3">
      <c r="F1924" s="190"/>
    </row>
    <row r="1925" spans="6:6" x14ac:dyDescent="0.3">
      <c r="F1925" s="190"/>
    </row>
    <row r="1926" spans="6:6" x14ac:dyDescent="0.3">
      <c r="F1926" s="190"/>
    </row>
    <row r="1927" spans="6:6" x14ac:dyDescent="0.3">
      <c r="F1927" s="190"/>
    </row>
    <row r="1928" spans="6:6" x14ac:dyDescent="0.3">
      <c r="F1928" s="190"/>
    </row>
    <row r="1929" spans="6:6" x14ac:dyDescent="0.3">
      <c r="F1929" s="190"/>
    </row>
    <row r="1930" spans="6:6" x14ac:dyDescent="0.3">
      <c r="F1930" s="190"/>
    </row>
    <row r="1931" spans="6:6" x14ac:dyDescent="0.3">
      <c r="F1931" s="190"/>
    </row>
    <row r="1932" spans="6:6" x14ac:dyDescent="0.3">
      <c r="F1932" s="190"/>
    </row>
    <row r="1933" spans="6:6" x14ac:dyDescent="0.3">
      <c r="F1933" s="190"/>
    </row>
    <row r="1934" spans="6:6" x14ac:dyDescent="0.3">
      <c r="F1934" s="190"/>
    </row>
    <row r="1935" spans="6:6" x14ac:dyDescent="0.3">
      <c r="F1935" s="190"/>
    </row>
    <row r="1936" spans="6:6" x14ac:dyDescent="0.3">
      <c r="F1936" s="190"/>
    </row>
    <row r="1937" spans="6:6" x14ac:dyDescent="0.3">
      <c r="F1937" s="190"/>
    </row>
    <row r="1938" spans="6:6" x14ac:dyDescent="0.3">
      <c r="F1938" s="190"/>
    </row>
    <row r="1939" spans="6:6" x14ac:dyDescent="0.3">
      <c r="F1939" s="190"/>
    </row>
    <row r="1940" spans="6:6" x14ac:dyDescent="0.3">
      <c r="F1940" s="190"/>
    </row>
    <row r="1941" spans="6:6" x14ac:dyDescent="0.3">
      <c r="F1941" s="190"/>
    </row>
    <row r="1942" spans="6:6" x14ac:dyDescent="0.3">
      <c r="F1942" s="190"/>
    </row>
    <row r="1943" spans="6:6" x14ac:dyDescent="0.3">
      <c r="F1943" s="190"/>
    </row>
    <row r="1944" spans="6:6" x14ac:dyDescent="0.3">
      <c r="F1944" s="190"/>
    </row>
    <row r="1945" spans="6:6" x14ac:dyDescent="0.3">
      <c r="F1945" s="190"/>
    </row>
    <row r="1946" spans="6:6" x14ac:dyDescent="0.3">
      <c r="F1946" s="190"/>
    </row>
    <row r="1947" spans="6:6" x14ac:dyDescent="0.3">
      <c r="F1947" s="190"/>
    </row>
    <row r="1948" spans="6:6" x14ac:dyDescent="0.3">
      <c r="F1948" s="190"/>
    </row>
    <row r="1949" spans="6:6" x14ac:dyDescent="0.3">
      <c r="F1949" s="190"/>
    </row>
    <row r="1950" spans="6:6" x14ac:dyDescent="0.3">
      <c r="F1950" s="190"/>
    </row>
    <row r="1951" spans="6:6" x14ac:dyDescent="0.3">
      <c r="F1951" s="190"/>
    </row>
    <row r="1952" spans="6:6" x14ac:dyDescent="0.3">
      <c r="F1952" s="190"/>
    </row>
    <row r="1953" spans="6:6" x14ac:dyDescent="0.3">
      <c r="F1953" s="190"/>
    </row>
    <row r="1954" spans="6:6" x14ac:dyDescent="0.3">
      <c r="F1954" s="190"/>
    </row>
    <row r="1955" spans="6:6" x14ac:dyDescent="0.3">
      <c r="F1955" s="190"/>
    </row>
    <row r="1956" spans="6:6" x14ac:dyDescent="0.3">
      <c r="F1956" s="190"/>
    </row>
    <row r="1957" spans="6:6" x14ac:dyDescent="0.3">
      <c r="F1957" s="190"/>
    </row>
    <row r="1958" spans="6:6" x14ac:dyDescent="0.3">
      <c r="F1958" s="190"/>
    </row>
    <row r="1959" spans="6:6" x14ac:dyDescent="0.3">
      <c r="F1959" s="190"/>
    </row>
    <row r="1960" spans="6:6" x14ac:dyDescent="0.3">
      <c r="F1960" s="190"/>
    </row>
    <row r="1961" spans="6:6" x14ac:dyDescent="0.3">
      <c r="F1961" s="190"/>
    </row>
    <row r="1962" spans="6:6" x14ac:dyDescent="0.3">
      <c r="F1962" s="190"/>
    </row>
    <row r="1963" spans="6:6" x14ac:dyDescent="0.3">
      <c r="F1963" s="190"/>
    </row>
    <row r="1964" spans="6:6" x14ac:dyDescent="0.3">
      <c r="F1964" s="190"/>
    </row>
    <row r="1965" spans="6:6" x14ac:dyDescent="0.3">
      <c r="F1965" s="190"/>
    </row>
    <row r="1966" spans="6:6" x14ac:dyDescent="0.3">
      <c r="F1966" s="190"/>
    </row>
    <row r="1967" spans="6:6" x14ac:dyDescent="0.3">
      <c r="F1967" s="190"/>
    </row>
    <row r="1968" spans="6:6" x14ac:dyDescent="0.3">
      <c r="F1968" s="190"/>
    </row>
    <row r="1969" spans="6:6" x14ac:dyDescent="0.3">
      <c r="F1969" s="190"/>
    </row>
    <row r="1970" spans="6:6" x14ac:dyDescent="0.3">
      <c r="F1970" s="190"/>
    </row>
    <row r="1971" spans="6:6" x14ac:dyDescent="0.3">
      <c r="F1971" s="190"/>
    </row>
    <row r="1972" spans="6:6" x14ac:dyDescent="0.3">
      <c r="F1972" s="190"/>
    </row>
    <row r="1973" spans="6:6" x14ac:dyDescent="0.3">
      <c r="F1973" s="190"/>
    </row>
    <row r="1974" spans="6:6" x14ac:dyDescent="0.3">
      <c r="F1974" s="190"/>
    </row>
    <row r="1975" spans="6:6" x14ac:dyDescent="0.3">
      <c r="F1975" s="190"/>
    </row>
    <row r="1976" spans="6:6" x14ac:dyDescent="0.3">
      <c r="F1976" s="190"/>
    </row>
    <row r="1977" spans="6:6" x14ac:dyDescent="0.3">
      <c r="F1977" s="190"/>
    </row>
    <row r="1978" spans="6:6" x14ac:dyDescent="0.3">
      <c r="F1978" s="190"/>
    </row>
    <row r="1979" spans="6:6" x14ac:dyDescent="0.3">
      <c r="F1979" s="190"/>
    </row>
    <row r="1980" spans="6:6" x14ac:dyDescent="0.3">
      <c r="F1980" s="190"/>
    </row>
    <row r="1981" spans="6:6" x14ac:dyDescent="0.3">
      <c r="F1981" s="190"/>
    </row>
    <row r="1982" spans="6:6" x14ac:dyDescent="0.3">
      <c r="F1982" s="190"/>
    </row>
    <row r="1983" spans="6:6" x14ac:dyDescent="0.3">
      <c r="F1983" s="190"/>
    </row>
    <row r="1984" spans="6:6" x14ac:dyDescent="0.3">
      <c r="F1984" s="190"/>
    </row>
    <row r="1985" spans="6:6" x14ac:dyDescent="0.3">
      <c r="F1985" s="190"/>
    </row>
    <row r="1986" spans="6:6" x14ac:dyDescent="0.3">
      <c r="F1986" s="190"/>
    </row>
    <row r="1987" spans="6:6" x14ac:dyDescent="0.3">
      <c r="F1987" s="190"/>
    </row>
    <row r="1988" spans="6:6" x14ac:dyDescent="0.3">
      <c r="F1988" s="190"/>
    </row>
    <row r="1989" spans="6:6" x14ac:dyDescent="0.3">
      <c r="F1989" s="190"/>
    </row>
    <row r="1990" spans="6:6" x14ac:dyDescent="0.3">
      <c r="F1990" s="190"/>
    </row>
    <row r="1991" spans="6:6" x14ac:dyDescent="0.3">
      <c r="F1991" s="190"/>
    </row>
    <row r="1992" spans="6:6" x14ac:dyDescent="0.3">
      <c r="F1992" s="190"/>
    </row>
    <row r="1993" spans="6:6" x14ac:dyDescent="0.3">
      <c r="F1993" s="190"/>
    </row>
    <row r="1994" spans="6:6" x14ac:dyDescent="0.3">
      <c r="F1994" s="190"/>
    </row>
    <row r="1995" spans="6:6" x14ac:dyDescent="0.3">
      <c r="F1995" s="190"/>
    </row>
    <row r="1996" spans="6:6" x14ac:dyDescent="0.3">
      <c r="F1996" s="190"/>
    </row>
    <row r="1997" spans="6:6" x14ac:dyDescent="0.3">
      <c r="F1997" s="190"/>
    </row>
    <row r="1998" spans="6:6" x14ac:dyDescent="0.3">
      <c r="F1998" s="190"/>
    </row>
    <row r="1999" spans="6:6" x14ac:dyDescent="0.3">
      <c r="F1999" s="190"/>
    </row>
    <row r="2000" spans="6:6" x14ac:dyDescent="0.3">
      <c r="F2000" s="190"/>
    </row>
    <row r="2001" spans="6:6" x14ac:dyDescent="0.3">
      <c r="F2001" s="190"/>
    </row>
    <row r="2002" spans="6:6" x14ac:dyDescent="0.3">
      <c r="F2002" s="190"/>
    </row>
    <row r="2003" spans="6:6" x14ac:dyDescent="0.3">
      <c r="F2003" s="190"/>
    </row>
    <row r="2004" spans="6:6" x14ac:dyDescent="0.3">
      <c r="F2004" s="190"/>
    </row>
    <row r="2005" spans="6:6" x14ac:dyDescent="0.3">
      <c r="F2005" s="190"/>
    </row>
    <row r="2006" spans="6:6" x14ac:dyDescent="0.3">
      <c r="F2006" s="190"/>
    </row>
    <row r="2007" spans="6:6" x14ac:dyDescent="0.3">
      <c r="F2007" s="190"/>
    </row>
    <row r="2008" spans="6:6" x14ac:dyDescent="0.3">
      <c r="F2008" s="190"/>
    </row>
    <row r="2009" spans="6:6" x14ac:dyDescent="0.3">
      <c r="F2009" s="190"/>
    </row>
    <row r="2010" spans="6:6" x14ac:dyDescent="0.3">
      <c r="F2010" s="190"/>
    </row>
    <row r="2011" spans="6:6" x14ac:dyDescent="0.3">
      <c r="F2011" s="190"/>
    </row>
    <row r="2012" spans="6:6" x14ac:dyDescent="0.3">
      <c r="F2012" s="190"/>
    </row>
    <row r="2013" spans="6:6" x14ac:dyDescent="0.3">
      <c r="F2013" s="190"/>
    </row>
    <row r="2014" spans="6:6" x14ac:dyDescent="0.3">
      <c r="F2014" s="190"/>
    </row>
    <row r="2015" spans="6:6" x14ac:dyDescent="0.3">
      <c r="F2015" s="190"/>
    </row>
    <row r="2016" spans="6:6" x14ac:dyDescent="0.3">
      <c r="F2016" s="190"/>
    </row>
    <row r="2017" spans="6:6" x14ac:dyDescent="0.3">
      <c r="F2017" s="190"/>
    </row>
    <row r="2018" spans="6:6" x14ac:dyDescent="0.3">
      <c r="F2018" s="190"/>
    </row>
    <row r="2019" spans="6:6" x14ac:dyDescent="0.3">
      <c r="F2019" s="190"/>
    </row>
    <row r="2020" spans="6:6" x14ac:dyDescent="0.3">
      <c r="F2020" s="190"/>
    </row>
    <row r="2021" spans="6:6" x14ac:dyDescent="0.3">
      <c r="F2021" s="190"/>
    </row>
    <row r="2022" spans="6:6" x14ac:dyDescent="0.3">
      <c r="F2022" s="190"/>
    </row>
    <row r="2023" spans="6:6" x14ac:dyDescent="0.3">
      <c r="F2023" s="190"/>
    </row>
    <row r="2024" spans="6:6" x14ac:dyDescent="0.3">
      <c r="F2024" s="190"/>
    </row>
    <row r="2025" spans="6:6" x14ac:dyDescent="0.3">
      <c r="F2025" s="190"/>
    </row>
    <row r="2026" spans="6:6" x14ac:dyDescent="0.3">
      <c r="F2026" s="190"/>
    </row>
    <row r="2027" spans="6:6" x14ac:dyDescent="0.3">
      <c r="F2027" s="190"/>
    </row>
    <row r="2028" spans="6:6" x14ac:dyDescent="0.3">
      <c r="F2028" s="190"/>
    </row>
    <row r="2029" spans="6:6" x14ac:dyDescent="0.3">
      <c r="F2029" s="190"/>
    </row>
    <row r="2030" spans="6:6" x14ac:dyDescent="0.3">
      <c r="F2030" s="190"/>
    </row>
    <row r="2031" spans="6:6" x14ac:dyDescent="0.3">
      <c r="F2031" s="190"/>
    </row>
    <row r="2032" spans="6:6" x14ac:dyDescent="0.3">
      <c r="F2032" s="190"/>
    </row>
    <row r="2033" spans="6:6" x14ac:dyDescent="0.3">
      <c r="F2033" s="190"/>
    </row>
    <row r="2034" spans="6:6" x14ac:dyDescent="0.3">
      <c r="F2034" s="190"/>
    </row>
    <row r="2035" spans="6:6" x14ac:dyDescent="0.3">
      <c r="F2035" s="190"/>
    </row>
    <row r="2036" spans="6:6" x14ac:dyDescent="0.3">
      <c r="F2036" s="190"/>
    </row>
    <row r="2037" spans="6:6" x14ac:dyDescent="0.3">
      <c r="F2037" s="190"/>
    </row>
    <row r="2038" spans="6:6" x14ac:dyDescent="0.3">
      <c r="F2038" s="190"/>
    </row>
    <row r="2039" spans="6:6" x14ac:dyDescent="0.3">
      <c r="F2039" s="190"/>
    </row>
    <row r="2040" spans="6:6" x14ac:dyDescent="0.3">
      <c r="F2040" s="190"/>
    </row>
    <row r="2041" spans="6:6" x14ac:dyDescent="0.3">
      <c r="F2041" s="190"/>
    </row>
    <row r="2042" spans="6:6" x14ac:dyDescent="0.3">
      <c r="F2042" s="190"/>
    </row>
    <row r="2043" spans="6:6" x14ac:dyDescent="0.3">
      <c r="F2043" s="190"/>
    </row>
    <row r="2044" spans="6:6" x14ac:dyDescent="0.3">
      <c r="F2044" s="190"/>
    </row>
    <row r="2045" spans="6:6" x14ac:dyDescent="0.3">
      <c r="F2045" s="190"/>
    </row>
    <row r="2046" spans="6:6" x14ac:dyDescent="0.3">
      <c r="F2046" s="190"/>
    </row>
    <row r="2047" spans="6:6" x14ac:dyDescent="0.3">
      <c r="F2047" s="190"/>
    </row>
    <row r="2048" spans="6:6" x14ac:dyDescent="0.3">
      <c r="F2048" s="190"/>
    </row>
    <row r="2049" spans="6:6" x14ac:dyDescent="0.3">
      <c r="F2049" s="190"/>
    </row>
    <row r="2050" spans="6:6" x14ac:dyDescent="0.3">
      <c r="F2050" s="190"/>
    </row>
    <row r="2051" spans="6:6" x14ac:dyDescent="0.3">
      <c r="F2051" s="190"/>
    </row>
    <row r="2052" spans="6:6" x14ac:dyDescent="0.3">
      <c r="F2052" s="190"/>
    </row>
    <row r="2053" spans="6:6" x14ac:dyDescent="0.3">
      <c r="F2053" s="190"/>
    </row>
    <row r="2054" spans="6:6" x14ac:dyDescent="0.3">
      <c r="F2054" s="190"/>
    </row>
    <row r="2055" spans="6:6" x14ac:dyDescent="0.3">
      <c r="F2055" s="190"/>
    </row>
    <row r="2056" spans="6:6" x14ac:dyDescent="0.3">
      <c r="F2056" s="190"/>
    </row>
    <row r="2057" spans="6:6" x14ac:dyDescent="0.3">
      <c r="F2057" s="190"/>
    </row>
    <row r="2058" spans="6:6" x14ac:dyDescent="0.3">
      <c r="F2058" s="190"/>
    </row>
    <row r="2059" spans="6:6" x14ac:dyDescent="0.3">
      <c r="F2059" s="190"/>
    </row>
    <row r="2060" spans="6:6" x14ac:dyDescent="0.3">
      <c r="F2060" s="190"/>
    </row>
    <row r="2061" spans="6:6" x14ac:dyDescent="0.3">
      <c r="F2061" s="190"/>
    </row>
    <row r="2062" spans="6:6" x14ac:dyDescent="0.3">
      <c r="F2062" s="190"/>
    </row>
    <row r="2063" spans="6:6" x14ac:dyDescent="0.3">
      <c r="F2063" s="190"/>
    </row>
    <row r="2064" spans="6:6" x14ac:dyDescent="0.3">
      <c r="F2064" s="190"/>
    </row>
    <row r="2065" spans="6:6" x14ac:dyDescent="0.3">
      <c r="F2065" s="190"/>
    </row>
    <row r="2066" spans="6:6" x14ac:dyDescent="0.3">
      <c r="F2066" s="190"/>
    </row>
    <row r="2067" spans="6:6" x14ac:dyDescent="0.3">
      <c r="F2067" s="190"/>
    </row>
    <row r="2068" spans="6:6" x14ac:dyDescent="0.3">
      <c r="F2068" s="190"/>
    </row>
    <row r="2069" spans="6:6" x14ac:dyDescent="0.3">
      <c r="F2069" s="190"/>
    </row>
    <row r="2070" spans="6:6" x14ac:dyDescent="0.3">
      <c r="F2070" s="190"/>
    </row>
    <row r="2071" spans="6:6" x14ac:dyDescent="0.3">
      <c r="F2071" s="190"/>
    </row>
    <row r="2072" spans="6:6" x14ac:dyDescent="0.3">
      <c r="F2072" s="190"/>
    </row>
    <row r="2073" spans="6:6" x14ac:dyDescent="0.3">
      <c r="F2073" s="190"/>
    </row>
    <row r="2074" spans="6:6" x14ac:dyDescent="0.3">
      <c r="F2074" s="190"/>
    </row>
    <row r="2075" spans="6:6" x14ac:dyDescent="0.3">
      <c r="F2075" s="190"/>
    </row>
    <row r="2076" spans="6:6" x14ac:dyDescent="0.3">
      <c r="F2076" s="190"/>
    </row>
    <row r="2077" spans="6:6" x14ac:dyDescent="0.3">
      <c r="F2077" s="190"/>
    </row>
    <row r="2078" spans="6:6" x14ac:dyDescent="0.3">
      <c r="F2078" s="190"/>
    </row>
    <row r="2079" spans="6:6" x14ac:dyDescent="0.3">
      <c r="F2079" s="190"/>
    </row>
    <row r="2080" spans="6:6" x14ac:dyDescent="0.3">
      <c r="F2080" s="190"/>
    </row>
    <row r="2081" spans="6:6" x14ac:dyDescent="0.3">
      <c r="F2081" s="190"/>
    </row>
    <row r="2082" spans="6:6" x14ac:dyDescent="0.3">
      <c r="F2082" s="190"/>
    </row>
    <row r="2083" spans="6:6" x14ac:dyDescent="0.3">
      <c r="F2083" s="190"/>
    </row>
    <row r="2084" spans="6:6" x14ac:dyDescent="0.3">
      <c r="F2084" s="190"/>
    </row>
    <row r="2085" spans="6:6" x14ac:dyDescent="0.3">
      <c r="F2085" s="190"/>
    </row>
    <row r="2086" spans="6:6" x14ac:dyDescent="0.3">
      <c r="F2086" s="190"/>
    </row>
    <row r="2087" spans="6:6" x14ac:dyDescent="0.3">
      <c r="F2087" s="190"/>
    </row>
    <row r="2088" spans="6:6" x14ac:dyDescent="0.3">
      <c r="F2088" s="190"/>
    </row>
    <row r="2089" spans="6:6" x14ac:dyDescent="0.3">
      <c r="F2089" s="190"/>
    </row>
    <row r="2090" spans="6:6" x14ac:dyDescent="0.3">
      <c r="F2090" s="190"/>
    </row>
    <row r="2091" spans="6:6" x14ac:dyDescent="0.3">
      <c r="F2091" s="190"/>
    </row>
    <row r="2092" spans="6:6" x14ac:dyDescent="0.3">
      <c r="F2092" s="190"/>
    </row>
    <row r="2093" spans="6:6" x14ac:dyDescent="0.3">
      <c r="F2093" s="190"/>
    </row>
    <row r="2094" spans="6:6" x14ac:dyDescent="0.3">
      <c r="F2094" s="190"/>
    </row>
    <row r="2095" spans="6:6" x14ac:dyDescent="0.3">
      <c r="F2095" s="190"/>
    </row>
    <row r="2096" spans="6:6" x14ac:dyDescent="0.3">
      <c r="F2096" s="190"/>
    </row>
    <row r="2097" spans="6:6" x14ac:dyDescent="0.3">
      <c r="F2097" s="190"/>
    </row>
    <row r="2098" spans="6:6" x14ac:dyDescent="0.3">
      <c r="F2098" s="190"/>
    </row>
    <row r="2099" spans="6:6" x14ac:dyDescent="0.3">
      <c r="F2099" s="190"/>
    </row>
    <row r="2100" spans="6:6" x14ac:dyDescent="0.3">
      <c r="F2100" s="190"/>
    </row>
    <row r="2101" spans="6:6" x14ac:dyDescent="0.3">
      <c r="F2101" s="190"/>
    </row>
    <row r="2102" spans="6:6" x14ac:dyDescent="0.3">
      <c r="F2102" s="190"/>
    </row>
    <row r="2103" spans="6:6" x14ac:dyDescent="0.3">
      <c r="F2103" s="190"/>
    </row>
    <row r="2104" spans="6:6" x14ac:dyDescent="0.3">
      <c r="F2104" s="190"/>
    </row>
    <row r="2105" spans="6:6" x14ac:dyDescent="0.3">
      <c r="F2105" s="190"/>
    </row>
    <row r="2106" spans="6:6" x14ac:dyDescent="0.3">
      <c r="F2106" s="190"/>
    </row>
    <row r="2107" spans="6:6" x14ac:dyDescent="0.3">
      <c r="F2107" s="190"/>
    </row>
    <row r="2108" spans="6:6" x14ac:dyDescent="0.3">
      <c r="F2108" s="190"/>
    </row>
    <row r="2109" spans="6:6" x14ac:dyDescent="0.3">
      <c r="F2109" s="190"/>
    </row>
    <row r="2110" spans="6:6" x14ac:dyDescent="0.3">
      <c r="F2110" s="190"/>
    </row>
    <row r="2111" spans="6:6" x14ac:dyDescent="0.3">
      <c r="F2111" s="190"/>
    </row>
    <row r="2112" spans="6:6" x14ac:dyDescent="0.3">
      <c r="F2112" s="190"/>
    </row>
    <row r="2113" spans="6:6" x14ac:dyDescent="0.3">
      <c r="F2113" s="190"/>
    </row>
    <row r="2114" spans="6:6" x14ac:dyDescent="0.3">
      <c r="F2114" s="190"/>
    </row>
    <row r="2115" spans="6:6" x14ac:dyDescent="0.3">
      <c r="F2115" s="190"/>
    </row>
    <row r="2116" spans="6:6" x14ac:dyDescent="0.3">
      <c r="F2116" s="190"/>
    </row>
    <row r="2117" spans="6:6" x14ac:dyDescent="0.3">
      <c r="F2117" s="190"/>
    </row>
    <row r="2118" spans="6:6" x14ac:dyDescent="0.3">
      <c r="F2118" s="190"/>
    </row>
    <row r="2119" spans="6:6" x14ac:dyDescent="0.3">
      <c r="F2119" s="190"/>
    </row>
    <row r="2120" spans="6:6" x14ac:dyDescent="0.3">
      <c r="F2120" s="190"/>
    </row>
    <row r="2121" spans="6:6" x14ac:dyDescent="0.3">
      <c r="F2121" s="190"/>
    </row>
    <row r="2122" spans="6:6" x14ac:dyDescent="0.3">
      <c r="F2122" s="190"/>
    </row>
    <row r="2123" spans="6:6" x14ac:dyDescent="0.3">
      <c r="F2123" s="190"/>
    </row>
    <row r="2124" spans="6:6" x14ac:dyDescent="0.3">
      <c r="F2124" s="190"/>
    </row>
    <row r="2125" spans="6:6" x14ac:dyDescent="0.3">
      <c r="F2125" s="190"/>
    </row>
    <row r="2126" spans="6:6" x14ac:dyDescent="0.3">
      <c r="F2126" s="190"/>
    </row>
    <row r="2127" spans="6:6" x14ac:dyDescent="0.3">
      <c r="F2127" s="190"/>
    </row>
    <row r="2128" spans="6:6" x14ac:dyDescent="0.3">
      <c r="F2128" s="190"/>
    </row>
    <row r="2129" spans="6:6" x14ac:dyDescent="0.3">
      <c r="F2129" s="190"/>
    </row>
    <row r="2130" spans="6:6" x14ac:dyDescent="0.3">
      <c r="F2130" s="190"/>
    </row>
    <row r="2131" spans="6:6" x14ac:dyDescent="0.3">
      <c r="F2131" s="190"/>
    </row>
    <row r="2132" spans="6:6" x14ac:dyDescent="0.3">
      <c r="F2132" s="190"/>
    </row>
    <row r="2133" spans="6:6" x14ac:dyDescent="0.3">
      <c r="F2133" s="190"/>
    </row>
    <row r="2134" spans="6:6" x14ac:dyDescent="0.3">
      <c r="F2134" s="190"/>
    </row>
    <row r="2135" spans="6:6" x14ac:dyDescent="0.3">
      <c r="F2135" s="190"/>
    </row>
    <row r="2136" spans="6:6" x14ac:dyDescent="0.3">
      <c r="F2136" s="190"/>
    </row>
    <row r="2137" spans="6:6" x14ac:dyDescent="0.3">
      <c r="F2137" s="190"/>
    </row>
    <row r="2138" spans="6:6" x14ac:dyDescent="0.3">
      <c r="F2138" s="190"/>
    </row>
    <row r="2139" spans="6:6" x14ac:dyDescent="0.3">
      <c r="F2139" s="190"/>
    </row>
    <row r="2140" spans="6:6" x14ac:dyDescent="0.3">
      <c r="F2140" s="190"/>
    </row>
    <row r="2141" spans="6:6" x14ac:dyDescent="0.3">
      <c r="F2141" s="190"/>
    </row>
    <row r="2142" spans="6:6" x14ac:dyDescent="0.3">
      <c r="F2142" s="190"/>
    </row>
    <row r="2143" spans="6:6" x14ac:dyDescent="0.3">
      <c r="F2143" s="190"/>
    </row>
    <row r="2144" spans="6:6" x14ac:dyDescent="0.3">
      <c r="F2144" s="190"/>
    </row>
    <row r="2145" spans="6:6" x14ac:dyDescent="0.3">
      <c r="F2145" s="190"/>
    </row>
    <row r="2146" spans="6:6" x14ac:dyDescent="0.3">
      <c r="F2146" s="190"/>
    </row>
    <row r="2147" spans="6:6" x14ac:dyDescent="0.3">
      <c r="F2147" s="190"/>
    </row>
    <row r="2148" spans="6:6" x14ac:dyDescent="0.3">
      <c r="F2148" s="190"/>
    </row>
    <row r="2149" spans="6:6" x14ac:dyDescent="0.3">
      <c r="F2149" s="190"/>
    </row>
    <row r="2150" spans="6:6" x14ac:dyDescent="0.3">
      <c r="F2150" s="190"/>
    </row>
    <row r="2151" spans="6:6" x14ac:dyDescent="0.3">
      <c r="F2151" s="190"/>
    </row>
    <row r="2152" spans="6:6" x14ac:dyDescent="0.3">
      <c r="F2152" s="190"/>
    </row>
    <row r="2153" spans="6:6" x14ac:dyDescent="0.3">
      <c r="F2153" s="190"/>
    </row>
    <row r="2154" spans="6:6" x14ac:dyDescent="0.3">
      <c r="F2154" s="190"/>
    </row>
    <row r="2155" spans="6:6" x14ac:dyDescent="0.3">
      <c r="F2155" s="190"/>
    </row>
    <row r="2156" spans="6:6" x14ac:dyDescent="0.3">
      <c r="F2156" s="190"/>
    </row>
    <row r="2157" spans="6:6" x14ac:dyDescent="0.3">
      <c r="F2157" s="190"/>
    </row>
    <row r="2158" spans="6:6" x14ac:dyDescent="0.3">
      <c r="F2158" s="190"/>
    </row>
    <row r="2159" spans="6:6" x14ac:dyDescent="0.3">
      <c r="F2159" s="190"/>
    </row>
    <row r="2160" spans="6:6" x14ac:dyDescent="0.3">
      <c r="F2160" s="190"/>
    </row>
    <row r="2161" spans="6:6" x14ac:dyDescent="0.3">
      <c r="F2161" s="190"/>
    </row>
    <row r="2162" spans="6:6" x14ac:dyDescent="0.3">
      <c r="F2162" s="190"/>
    </row>
    <row r="2163" spans="6:6" x14ac:dyDescent="0.3">
      <c r="F2163" s="190"/>
    </row>
    <row r="2164" spans="6:6" x14ac:dyDescent="0.3">
      <c r="F2164" s="190"/>
    </row>
    <row r="2165" spans="6:6" x14ac:dyDescent="0.3">
      <c r="F2165" s="190"/>
    </row>
    <row r="2166" spans="6:6" x14ac:dyDescent="0.3">
      <c r="F2166" s="190"/>
    </row>
    <row r="2167" spans="6:6" x14ac:dyDescent="0.3">
      <c r="F2167" s="190"/>
    </row>
    <row r="2168" spans="6:6" x14ac:dyDescent="0.3">
      <c r="F2168" s="190"/>
    </row>
    <row r="2169" spans="6:6" x14ac:dyDescent="0.3">
      <c r="F2169" s="190"/>
    </row>
    <row r="2170" spans="6:6" x14ac:dyDescent="0.3">
      <c r="F2170" s="190"/>
    </row>
    <row r="2171" spans="6:6" x14ac:dyDescent="0.3">
      <c r="F2171" s="190"/>
    </row>
    <row r="2172" spans="6:6" x14ac:dyDescent="0.3">
      <c r="F2172" s="190"/>
    </row>
    <row r="2173" spans="6:6" x14ac:dyDescent="0.3">
      <c r="F2173" s="190"/>
    </row>
    <row r="2174" spans="6:6" x14ac:dyDescent="0.3">
      <c r="F2174" s="190"/>
    </row>
    <row r="2175" spans="6:6" x14ac:dyDescent="0.3">
      <c r="F2175" s="190"/>
    </row>
    <row r="2176" spans="6:6" x14ac:dyDescent="0.3">
      <c r="F2176" s="190"/>
    </row>
    <row r="2177" spans="6:6" x14ac:dyDescent="0.3">
      <c r="F2177" s="190"/>
    </row>
    <row r="2178" spans="6:6" x14ac:dyDescent="0.3">
      <c r="F2178" s="190"/>
    </row>
    <row r="2179" spans="6:6" x14ac:dyDescent="0.3">
      <c r="F2179" s="190"/>
    </row>
    <row r="2180" spans="6:6" x14ac:dyDescent="0.3">
      <c r="F2180" s="190"/>
    </row>
    <row r="2181" spans="6:6" x14ac:dyDescent="0.3">
      <c r="F2181" s="190"/>
    </row>
    <row r="2182" spans="6:6" x14ac:dyDescent="0.3">
      <c r="F2182" s="190"/>
    </row>
    <row r="2183" spans="6:6" x14ac:dyDescent="0.3">
      <c r="F2183" s="190"/>
    </row>
    <row r="2184" spans="6:6" x14ac:dyDescent="0.3">
      <c r="F2184" s="190"/>
    </row>
    <row r="2185" spans="6:6" x14ac:dyDescent="0.3">
      <c r="F2185" s="190"/>
    </row>
    <row r="2186" spans="6:6" x14ac:dyDescent="0.3">
      <c r="F2186" s="190"/>
    </row>
    <row r="2187" spans="6:6" x14ac:dyDescent="0.3">
      <c r="F2187" s="190"/>
    </row>
    <row r="2188" spans="6:6" x14ac:dyDescent="0.3">
      <c r="F2188" s="190"/>
    </row>
    <row r="2189" spans="6:6" x14ac:dyDescent="0.3">
      <c r="F2189" s="190"/>
    </row>
    <row r="2190" spans="6:6" x14ac:dyDescent="0.3">
      <c r="F2190" s="190"/>
    </row>
    <row r="2191" spans="6:6" x14ac:dyDescent="0.3">
      <c r="F2191" s="190"/>
    </row>
    <row r="2192" spans="6:6" x14ac:dyDescent="0.3">
      <c r="F2192" s="190"/>
    </row>
    <row r="2193" spans="6:6" x14ac:dyDescent="0.3">
      <c r="F2193" s="190"/>
    </row>
    <row r="2194" spans="6:6" x14ac:dyDescent="0.3">
      <c r="F2194" s="190"/>
    </row>
    <row r="2195" spans="6:6" x14ac:dyDescent="0.3">
      <c r="F2195" s="190"/>
    </row>
    <row r="2196" spans="6:6" x14ac:dyDescent="0.3">
      <c r="F2196" s="190"/>
    </row>
    <row r="2197" spans="6:6" x14ac:dyDescent="0.3">
      <c r="F2197" s="190"/>
    </row>
    <row r="2198" spans="6:6" x14ac:dyDescent="0.3">
      <c r="F2198" s="190"/>
    </row>
    <row r="2199" spans="6:6" x14ac:dyDescent="0.3">
      <c r="F2199" s="190"/>
    </row>
    <row r="2200" spans="6:6" x14ac:dyDescent="0.3">
      <c r="F2200" s="190"/>
    </row>
    <row r="2201" spans="6:6" x14ac:dyDescent="0.3">
      <c r="F2201" s="190"/>
    </row>
    <row r="2202" spans="6:6" x14ac:dyDescent="0.3">
      <c r="F2202" s="190"/>
    </row>
    <row r="2203" spans="6:6" x14ac:dyDescent="0.3">
      <c r="F2203" s="190"/>
    </row>
    <row r="2204" spans="6:6" x14ac:dyDescent="0.3">
      <c r="F2204" s="190"/>
    </row>
    <row r="2205" spans="6:6" x14ac:dyDescent="0.3">
      <c r="F2205" s="190"/>
    </row>
    <row r="2206" spans="6:6" x14ac:dyDescent="0.3">
      <c r="F2206" s="190"/>
    </row>
    <row r="2207" spans="6:6" x14ac:dyDescent="0.3">
      <c r="F2207" s="190"/>
    </row>
    <row r="2208" spans="6:6" x14ac:dyDescent="0.3">
      <c r="F2208" s="190"/>
    </row>
    <row r="2209" spans="6:6" x14ac:dyDescent="0.3">
      <c r="F2209" s="190"/>
    </row>
    <row r="2210" spans="6:6" x14ac:dyDescent="0.3">
      <c r="F2210" s="190"/>
    </row>
    <row r="2211" spans="6:6" x14ac:dyDescent="0.3">
      <c r="F2211" s="190"/>
    </row>
    <row r="2212" spans="6:6" x14ac:dyDescent="0.3">
      <c r="F2212" s="190"/>
    </row>
    <row r="2213" spans="6:6" x14ac:dyDescent="0.3">
      <c r="F2213" s="190"/>
    </row>
    <row r="2214" spans="6:6" x14ac:dyDescent="0.3">
      <c r="F2214" s="190"/>
    </row>
    <row r="2215" spans="6:6" x14ac:dyDescent="0.3">
      <c r="F2215" s="190"/>
    </row>
    <row r="2216" spans="6:6" x14ac:dyDescent="0.3">
      <c r="F2216" s="190"/>
    </row>
    <row r="2217" spans="6:6" x14ac:dyDescent="0.3">
      <c r="F2217" s="190"/>
    </row>
    <row r="2218" spans="6:6" x14ac:dyDescent="0.3">
      <c r="F2218" s="190"/>
    </row>
    <row r="2219" spans="6:6" x14ac:dyDescent="0.3">
      <c r="F2219" s="190"/>
    </row>
    <row r="2220" spans="6:6" x14ac:dyDescent="0.3">
      <c r="F2220" s="190"/>
    </row>
    <row r="2221" spans="6:6" x14ac:dyDescent="0.3">
      <c r="F2221" s="190"/>
    </row>
    <row r="2222" spans="6:6" x14ac:dyDescent="0.3">
      <c r="F2222" s="190"/>
    </row>
    <row r="2223" spans="6:6" x14ac:dyDescent="0.3">
      <c r="F2223" s="190"/>
    </row>
    <row r="2224" spans="6:6" x14ac:dyDescent="0.3">
      <c r="F2224" s="190"/>
    </row>
    <row r="2225" spans="6:6" x14ac:dyDescent="0.3">
      <c r="F2225" s="190"/>
    </row>
    <row r="2226" spans="6:6" x14ac:dyDescent="0.3">
      <c r="F2226" s="190"/>
    </row>
    <row r="2227" spans="6:6" x14ac:dyDescent="0.3">
      <c r="F2227" s="190"/>
    </row>
    <row r="2228" spans="6:6" x14ac:dyDescent="0.3">
      <c r="F2228" s="190"/>
    </row>
    <row r="2229" spans="6:6" x14ac:dyDescent="0.3">
      <c r="F2229" s="190"/>
    </row>
    <row r="2230" spans="6:6" x14ac:dyDescent="0.3">
      <c r="F2230" s="190"/>
    </row>
    <row r="2231" spans="6:6" x14ac:dyDescent="0.3">
      <c r="F2231" s="190"/>
    </row>
    <row r="2232" spans="6:6" x14ac:dyDescent="0.3">
      <c r="F2232" s="190"/>
    </row>
    <row r="2233" spans="6:6" x14ac:dyDescent="0.3">
      <c r="F2233" s="190"/>
    </row>
    <row r="2234" spans="6:6" x14ac:dyDescent="0.3">
      <c r="F2234" s="190"/>
    </row>
    <row r="2235" spans="6:6" x14ac:dyDescent="0.3">
      <c r="F2235" s="190"/>
    </row>
    <row r="2236" spans="6:6" x14ac:dyDescent="0.3">
      <c r="F2236" s="190"/>
    </row>
    <row r="2237" spans="6:6" x14ac:dyDescent="0.3">
      <c r="F2237" s="190"/>
    </row>
    <row r="2238" spans="6:6" x14ac:dyDescent="0.3">
      <c r="F2238" s="190"/>
    </row>
    <row r="2239" spans="6:6" x14ac:dyDescent="0.3">
      <c r="F2239" s="190"/>
    </row>
    <row r="2240" spans="6:6" x14ac:dyDescent="0.3">
      <c r="F2240" s="190"/>
    </row>
    <row r="2241" spans="6:6" x14ac:dyDescent="0.3">
      <c r="F2241" s="190"/>
    </row>
    <row r="2242" spans="6:6" x14ac:dyDescent="0.3">
      <c r="F2242" s="190"/>
    </row>
    <row r="2243" spans="6:6" x14ac:dyDescent="0.3">
      <c r="F2243" s="190"/>
    </row>
    <row r="2244" spans="6:6" x14ac:dyDescent="0.3">
      <c r="F2244" s="190"/>
    </row>
    <row r="2245" spans="6:6" x14ac:dyDescent="0.3">
      <c r="F2245" s="190"/>
    </row>
    <row r="2246" spans="6:6" x14ac:dyDescent="0.3">
      <c r="F2246" s="190"/>
    </row>
    <row r="2247" spans="6:6" x14ac:dyDescent="0.3">
      <c r="F2247" s="190"/>
    </row>
    <row r="2248" spans="6:6" x14ac:dyDescent="0.3">
      <c r="F2248" s="190"/>
    </row>
    <row r="2249" spans="6:6" x14ac:dyDescent="0.3">
      <c r="F2249" s="190"/>
    </row>
    <row r="2250" spans="6:6" x14ac:dyDescent="0.3">
      <c r="F2250" s="190"/>
    </row>
    <row r="2251" spans="6:6" x14ac:dyDescent="0.3">
      <c r="F2251" s="190"/>
    </row>
    <row r="2252" spans="6:6" x14ac:dyDescent="0.3">
      <c r="F2252" s="190"/>
    </row>
    <row r="2253" spans="6:6" x14ac:dyDescent="0.3">
      <c r="F2253" s="190"/>
    </row>
    <row r="2254" spans="6:6" x14ac:dyDescent="0.3">
      <c r="F2254" s="190"/>
    </row>
    <row r="2255" spans="6:6" x14ac:dyDescent="0.3">
      <c r="F2255" s="190"/>
    </row>
    <row r="2256" spans="6:6" x14ac:dyDescent="0.3">
      <c r="F2256" s="190"/>
    </row>
    <row r="2257" spans="6:6" x14ac:dyDescent="0.3">
      <c r="F2257" s="190"/>
    </row>
    <row r="2258" spans="6:6" x14ac:dyDescent="0.3">
      <c r="F2258" s="190"/>
    </row>
    <row r="2259" spans="6:6" x14ac:dyDescent="0.3">
      <c r="F2259" s="190"/>
    </row>
    <row r="2260" spans="6:6" x14ac:dyDescent="0.3">
      <c r="F2260" s="190"/>
    </row>
    <row r="2261" spans="6:6" x14ac:dyDescent="0.3">
      <c r="F2261" s="190"/>
    </row>
    <row r="2262" spans="6:6" x14ac:dyDescent="0.3">
      <c r="F2262" s="190"/>
    </row>
    <row r="2263" spans="6:6" x14ac:dyDescent="0.3">
      <c r="F2263" s="190"/>
    </row>
    <row r="2264" spans="6:6" x14ac:dyDescent="0.3">
      <c r="F2264" s="190"/>
    </row>
    <row r="2265" spans="6:6" x14ac:dyDescent="0.3">
      <c r="F2265" s="190"/>
    </row>
    <row r="2266" spans="6:6" x14ac:dyDescent="0.3">
      <c r="F2266" s="190"/>
    </row>
    <row r="2267" spans="6:6" x14ac:dyDescent="0.3">
      <c r="F2267" s="190"/>
    </row>
    <row r="2268" spans="6:6" x14ac:dyDescent="0.3">
      <c r="F2268" s="190"/>
    </row>
    <row r="2269" spans="6:6" x14ac:dyDescent="0.3">
      <c r="F2269" s="190"/>
    </row>
    <row r="2270" spans="6:6" x14ac:dyDescent="0.3">
      <c r="F2270" s="190"/>
    </row>
    <row r="2271" spans="6:6" x14ac:dyDescent="0.3">
      <c r="F2271" s="190"/>
    </row>
    <row r="2272" spans="6:6" x14ac:dyDescent="0.3">
      <c r="F2272" s="190"/>
    </row>
    <row r="2273" spans="6:6" x14ac:dyDescent="0.3">
      <c r="F2273" s="190"/>
    </row>
    <row r="2274" spans="6:6" x14ac:dyDescent="0.3">
      <c r="F2274" s="190"/>
    </row>
    <row r="2275" spans="6:6" x14ac:dyDescent="0.3">
      <c r="F2275" s="190"/>
    </row>
    <row r="2276" spans="6:6" x14ac:dyDescent="0.3">
      <c r="F2276" s="190"/>
    </row>
    <row r="2277" spans="6:6" x14ac:dyDescent="0.3">
      <c r="F2277" s="190"/>
    </row>
    <row r="2278" spans="6:6" x14ac:dyDescent="0.3">
      <c r="F2278" s="190"/>
    </row>
    <row r="2279" spans="6:6" x14ac:dyDescent="0.3">
      <c r="F2279" s="190"/>
    </row>
    <row r="2280" spans="6:6" x14ac:dyDescent="0.3">
      <c r="F2280" s="190"/>
    </row>
    <row r="2281" spans="6:6" x14ac:dyDescent="0.3">
      <c r="F2281" s="190"/>
    </row>
    <row r="2282" spans="6:6" x14ac:dyDescent="0.3">
      <c r="F2282" s="190"/>
    </row>
    <row r="2283" spans="6:6" x14ac:dyDescent="0.3">
      <c r="F2283" s="190"/>
    </row>
    <row r="2284" spans="6:6" x14ac:dyDescent="0.3">
      <c r="F2284" s="190"/>
    </row>
    <row r="2285" spans="6:6" x14ac:dyDescent="0.3">
      <c r="F2285" s="190"/>
    </row>
    <row r="2286" spans="6:6" x14ac:dyDescent="0.3">
      <c r="F2286" s="190"/>
    </row>
    <row r="2287" spans="6:6" x14ac:dyDescent="0.3">
      <c r="F2287" s="190"/>
    </row>
    <row r="2288" spans="6:6" x14ac:dyDescent="0.3">
      <c r="F2288" s="190"/>
    </row>
    <row r="2289" spans="6:6" x14ac:dyDescent="0.3">
      <c r="F2289" s="190"/>
    </row>
    <row r="2290" spans="6:6" x14ac:dyDescent="0.3">
      <c r="F2290" s="190"/>
    </row>
    <row r="2291" spans="6:6" x14ac:dyDescent="0.3">
      <c r="F2291" s="190"/>
    </row>
    <row r="2292" spans="6:6" x14ac:dyDescent="0.3">
      <c r="F2292" s="190"/>
    </row>
    <row r="2293" spans="6:6" x14ac:dyDescent="0.3">
      <c r="F2293" s="190"/>
    </row>
    <row r="2294" spans="6:6" x14ac:dyDescent="0.3">
      <c r="F2294" s="190"/>
    </row>
    <row r="2295" spans="6:6" x14ac:dyDescent="0.3">
      <c r="F2295" s="190"/>
    </row>
    <row r="2296" spans="6:6" x14ac:dyDescent="0.3">
      <c r="F2296" s="190"/>
    </row>
    <row r="2297" spans="6:6" x14ac:dyDescent="0.3">
      <c r="F2297" s="190"/>
    </row>
    <row r="2298" spans="6:6" x14ac:dyDescent="0.3">
      <c r="F2298" s="190"/>
    </row>
    <row r="2299" spans="6:6" x14ac:dyDescent="0.3">
      <c r="F2299" s="190"/>
    </row>
    <row r="2300" spans="6:6" x14ac:dyDescent="0.3">
      <c r="F2300" s="190"/>
    </row>
    <row r="2301" spans="6:6" x14ac:dyDescent="0.3">
      <c r="F2301" s="190"/>
    </row>
    <row r="2302" spans="6:6" x14ac:dyDescent="0.3">
      <c r="F2302" s="190"/>
    </row>
    <row r="2303" spans="6:6" x14ac:dyDescent="0.3">
      <c r="F2303" s="190"/>
    </row>
    <row r="2304" spans="6:6" x14ac:dyDescent="0.3">
      <c r="F2304" s="190"/>
    </row>
    <row r="2305" spans="6:6" x14ac:dyDescent="0.3">
      <c r="F2305" s="190"/>
    </row>
    <row r="2306" spans="6:6" x14ac:dyDescent="0.3">
      <c r="F2306" s="190"/>
    </row>
    <row r="2307" spans="6:6" x14ac:dyDescent="0.3">
      <c r="F2307" s="190"/>
    </row>
    <row r="2308" spans="6:6" x14ac:dyDescent="0.3">
      <c r="F2308" s="190"/>
    </row>
    <row r="2309" spans="6:6" x14ac:dyDescent="0.3">
      <c r="F2309" s="190"/>
    </row>
    <row r="2310" spans="6:6" x14ac:dyDescent="0.3">
      <c r="F2310" s="190"/>
    </row>
    <row r="2311" spans="6:6" x14ac:dyDescent="0.3">
      <c r="F2311" s="190"/>
    </row>
    <row r="2312" spans="6:6" x14ac:dyDescent="0.3">
      <c r="F2312" s="190"/>
    </row>
    <row r="2313" spans="6:6" x14ac:dyDescent="0.3">
      <c r="F2313" s="190"/>
    </row>
    <row r="2314" spans="6:6" x14ac:dyDescent="0.3">
      <c r="F2314" s="190"/>
    </row>
    <row r="2315" spans="6:6" x14ac:dyDescent="0.3">
      <c r="F2315" s="190"/>
    </row>
    <row r="2316" spans="6:6" x14ac:dyDescent="0.3">
      <c r="F2316" s="190"/>
    </row>
    <row r="2317" spans="6:6" x14ac:dyDescent="0.3">
      <c r="F2317" s="190"/>
    </row>
    <row r="2318" spans="6:6" x14ac:dyDescent="0.3">
      <c r="F2318" s="190"/>
    </row>
    <row r="2319" spans="6:6" x14ac:dyDescent="0.3">
      <c r="F2319" s="190"/>
    </row>
    <row r="2320" spans="6:6" x14ac:dyDescent="0.3">
      <c r="F2320" s="190"/>
    </row>
    <row r="2321" spans="6:6" x14ac:dyDescent="0.3">
      <c r="F2321" s="190"/>
    </row>
    <row r="2322" spans="6:6" x14ac:dyDescent="0.3">
      <c r="F2322" s="190"/>
    </row>
    <row r="2323" spans="6:6" x14ac:dyDescent="0.3">
      <c r="F2323" s="190"/>
    </row>
    <row r="2324" spans="6:6" x14ac:dyDescent="0.3">
      <c r="F2324" s="190"/>
    </row>
    <row r="2325" spans="6:6" x14ac:dyDescent="0.3">
      <c r="F2325" s="190"/>
    </row>
    <row r="2326" spans="6:6" x14ac:dyDescent="0.3">
      <c r="F2326" s="190"/>
    </row>
    <row r="2327" spans="6:6" x14ac:dyDescent="0.3">
      <c r="F2327" s="190"/>
    </row>
    <row r="2328" spans="6:6" x14ac:dyDescent="0.3">
      <c r="F2328" s="190"/>
    </row>
    <row r="2329" spans="6:6" x14ac:dyDescent="0.3">
      <c r="F2329" s="190"/>
    </row>
    <row r="2330" spans="6:6" x14ac:dyDescent="0.3">
      <c r="F2330" s="190"/>
    </row>
    <row r="2331" spans="6:6" x14ac:dyDescent="0.3">
      <c r="F2331" s="190"/>
    </row>
    <row r="2332" spans="6:6" x14ac:dyDescent="0.3">
      <c r="F2332" s="190"/>
    </row>
    <row r="2333" spans="6:6" x14ac:dyDescent="0.3">
      <c r="F2333" s="190"/>
    </row>
    <row r="2334" spans="6:6" x14ac:dyDescent="0.3">
      <c r="F2334" s="190"/>
    </row>
    <row r="2335" spans="6:6" x14ac:dyDescent="0.3">
      <c r="F2335" s="190"/>
    </row>
    <row r="2336" spans="6:6" x14ac:dyDescent="0.3">
      <c r="F2336" s="190"/>
    </row>
    <row r="2337" spans="6:6" x14ac:dyDescent="0.3">
      <c r="F2337" s="190"/>
    </row>
    <row r="2338" spans="6:6" x14ac:dyDescent="0.3">
      <c r="F2338" s="190"/>
    </row>
    <row r="2339" spans="6:6" x14ac:dyDescent="0.3">
      <c r="F2339" s="190"/>
    </row>
    <row r="2340" spans="6:6" x14ac:dyDescent="0.3">
      <c r="F2340" s="190"/>
    </row>
    <row r="2341" spans="6:6" x14ac:dyDescent="0.3">
      <c r="F2341" s="190"/>
    </row>
    <row r="2342" spans="6:6" x14ac:dyDescent="0.3">
      <c r="F2342" s="190"/>
    </row>
    <row r="2343" spans="6:6" x14ac:dyDescent="0.3">
      <c r="F2343" s="190"/>
    </row>
    <row r="2344" spans="6:6" x14ac:dyDescent="0.3">
      <c r="F2344" s="190"/>
    </row>
    <row r="2345" spans="6:6" x14ac:dyDescent="0.3">
      <c r="F2345" s="190"/>
    </row>
    <row r="2346" spans="6:6" x14ac:dyDescent="0.3">
      <c r="F2346" s="190"/>
    </row>
    <row r="2347" spans="6:6" x14ac:dyDescent="0.3">
      <c r="F2347" s="190"/>
    </row>
    <row r="2348" spans="6:6" x14ac:dyDescent="0.3">
      <c r="F2348" s="190"/>
    </row>
    <row r="2349" spans="6:6" x14ac:dyDescent="0.3">
      <c r="F2349" s="190"/>
    </row>
    <row r="2350" spans="6:6" x14ac:dyDescent="0.3">
      <c r="F2350" s="190"/>
    </row>
    <row r="2351" spans="6:6" x14ac:dyDescent="0.3">
      <c r="F2351" s="190"/>
    </row>
    <row r="2352" spans="6:6" x14ac:dyDescent="0.3">
      <c r="F2352" s="190"/>
    </row>
    <row r="2353" spans="6:6" x14ac:dyDescent="0.3">
      <c r="F2353" s="190"/>
    </row>
    <row r="2354" spans="6:6" x14ac:dyDescent="0.3">
      <c r="F2354" s="190"/>
    </row>
    <row r="2355" spans="6:6" x14ac:dyDescent="0.3">
      <c r="F2355" s="190"/>
    </row>
    <row r="2356" spans="6:6" x14ac:dyDescent="0.3">
      <c r="F2356" s="190"/>
    </row>
    <row r="2357" spans="6:6" x14ac:dyDescent="0.3">
      <c r="F2357" s="190"/>
    </row>
    <row r="2358" spans="6:6" x14ac:dyDescent="0.3">
      <c r="F2358" s="190"/>
    </row>
    <row r="2359" spans="6:6" x14ac:dyDescent="0.3">
      <c r="F2359" s="190"/>
    </row>
    <row r="2360" spans="6:6" x14ac:dyDescent="0.3">
      <c r="F2360" s="190"/>
    </row>
    <row r="2361" spans="6:6" x14ac:dyDescent="0.3">
      <c r="F2361" s="190"/>
    </row>
    <row r="2362" spans="6:6" x14ac:dyDescent="0.3">
      <c r="F2362" s="190"/>
    </row>
    <row r="2363" spans="6:6" x14ac:dyDescent="0.3">
      <c r="F2363" s="190"/>
    </row>
    <row r="2364" spans="6:6" x14ac:dyDescent="0.3">
      <c r="F2364" s="190"/>
    </row>
    <row r="2365" spans="6:6" x14ac:dyDescent="0.3">
      <c r="F2365" s="190"/>
    </row>
    <row r="2366" spans="6:6" x14ac:dyDescent="0.3">
      <c r="F2366" s="190"/>
    </row>
    <row r="2367" spans="6:6" x14ac:dyDescent="0.3">
      <c r="F2367" s="190"/>
    </row>
    <row r="2368" spans="6:6" x14ac:dyDescent="0.3">
      <c r="F2368" s="190"/>
    </row>
    <row r="2369" spans="6:6" x14ac:dyDescent="0.3">
      <c r="F2369" s="190"/>
    </row>
    <row r="2370" spans="6:6" x14ac:dyDescent="0.3">
      <c r="F2370" s="190"/>
    </row>
    <row r="2371" spans="6:6" x14ac:dyDescent="0.3">
      <c r="F2371" s="190"/>
    </row>
    <row r="2372" spans="6:6" x14ac:dyDescent="0.3">
      <c r="F2372" s="190"/>
    </row>
    <row r="2373" spans="6:6" x14ac:dyDescent="0.3">
      <c r="F2373" s="190"/>
    </row>
    <row r="2374" spans="6:6" x14ac:dyDescent="0.3">
      <c r="F2374" s="190"/>
    </row>
    <row r="2375" spans="6:6" x14ac:dyDescent="0.3">
      <c r="F2375" s="190"/>
    </row>
    <row r="2376" spans="6:6" x14ac:dyDescent="0.3">
      <c r="F2376" s="190"/>
    </row>
    <row r="2377" spans="6:6" x14ac:dyDescent="0.3">
      <c r="F2377" s="190"/>
    </row>
    <row r="2378" spans="6:6" x14ac:dyDescent="0.3">
      <c r="F2378" s="190"/>
    </row>
    <row r="2379" spans="6:6" x14ac:dyDescent="0.3">
      <c r="F2379" s="190"/>
    </row>
    <row r="2380" spans="6:6" x14ac:dyDescent="0.3">
      <c r="F2380" s="190"/>
    </row>
    <row r="2381" spans="6:6" x14ac:dyDescent="0.3">
      <c r="F2381" s="190"/>
    </row>
    <row r="2382" spans="6:6" x14ac:dyDescent="0.3">
      <c r="F2382" s="190"/>
    </row>
    <row r="2383" spans="6:6" x14ac:dyDescent="0.3">
      <c r="F2383" s="190"/>
    </row>
    <row r="2384" spans="6:6" x14ac:dyDescent="0.3">
      <c r="F2384" s="190"/>
    </row>
    <row r="2385" spans="6:6" x14ac:dyDescent="0.3">
      <c r="F2385" s="190"/>
    </row>
    <row r="2386" spans="6:6" x14ac:dyDescent="0.3">
      <c r="F2386" s="190"/>
    </row>
    <row r="2387" spans="6:6" x14ac:dyDescent="0.3">
      <c r="F2387" s="190"/>
    </row>
    <row r="2388" spans="6:6" x14ac:dyDescent="0.3">
      <c r="F2388" s="190"/>
    </row>
    <row r="2389" spans="6:6" x14ac:dyDescent="0.3">
      <c r="F2389" s="190"/>
    </row>
    <row r="2390" spans="6:6" x14ac:dyDescent="0.3">
      <c r="F2390" s="190"/>
    </row>
    <row r="2391" spans="6:6" x14ac:dyDescent="0.3">
      <c r="F2391" s="190"/>
    </row>
    <row r="2392" spans="6:6" x14ac:dyDescent="0.3">
      <c r="F2392" s="190"/>
    </row>
    <row r="2393" spans="6:6" x14ac:dyDescent="0.3">
      <c r="F2393" s="190"/>
    </row>
    <row r="2394" spans="6:6" x14ac:dyDescent="0.3">
      <c r="F2394" s="190"/>
    </row>
    <row r="2395" spans="6:6" x14ac:dyDescent="0.3">
      <c r="F2395" s="190"/>
    </row>
    <row r="2396" spans="6:6" x14ac:dyDescent="0.3">
      <c r="F2396" s="190"/>
    </row>
    <row r="2397" spans="6:6" x14ac:dyDescent="0.3">
      <c r="F2397" s="190"/>
    </row>
    <row r="2398" spans="6:6" x14ac:dyDescent="0.3">
      <c r="F2398" s="190"/>
    </row>
    <row r="2399" spans="6:6" x14ac:dyDescent="0.3">
      <c r="F2399" s="190"/>
    </row>
    <row r="2400" spans="6:6" x14ac:dyDescent="0.3">
      <c r="F2400" s="190"/>
    </row>
    <row r="2401" spans="6:6" x14ac:dyDescent="0.3">
      <c r="F2401" s="190"/>
    </row>
    <row r="2402" spans="6:6" x14ac:dyDescent="0.3">
      <c r="F2402" s="190"/>
    </row>
    <row r="2403" spans="6:6" x14ac:dyDescent="0.3">
      <c r="F2403" s="190"/>
    </row>
    <row r="2404" spans="6:6" x14ac:dyDescent="0.3">
      <c r="F2404" s="190"/>
    </row>
    <row r="2405" spans="6:6" x14ac:dyDescent="0.3">
      <c r="F2405" s="190"/>
    </row>
    <row r="2406" spans="6:6" x14ac:dyDescent="0.3">
      <c r="F2406" s="190"/>
    </row>
    <row r="2407" spans="6:6" x14ac:dyDescent="0.3">
      <c r="F2407" s="190"/>
    </row>
    <row r="2408" spans="6:6" x14ac:dyDescent="0.3">
      <c r="F2408" s="190"/>
    </row>
    <row r="2409" spans="6:6" x14ac:dyDescent="0.3">
      <c r="F2409" s="190"/>
    </row>
    <row r="2410" spans="6:6" x14ac:dyDescent="0.3">
      <c r="F2410" s="190"/>
    </row>
    <row r="2411" spans="6:6" x14ac:dyDescent="0.3">
      <c r="F2411" s="190"/>
    </row>
    <row r="2412" spans="6:6" x14ac:dyDescent="0.3">
      <c r="F2412" s="190"/>
    </row>
    <row r="2413" spans="6:6" x14ac:dyDescent="0.3">
      <c r="F2413" s="190"/>
    </row>
    <row r="2414" spans="6:6" x14ac:dyDescent="0.3">
      <c r="F2414" s="190"/>
    </row>
    <row r="2415" spans="6:6" x14ac:dyDescent="0.3">
      <c r="F2415" s="190"/>
    </row>
    <row r="2416" spans="6:6" x14ac:dyDescent="0.3">
      <c r="F2416" s="190"/>
    </row>
    <row r="2417" spans="6:6" x14ac:dyDescent="0.3">
      <c r="F2417" s="190"/>
    </row>
    <row r="2418" spans="6:6" x14ac:dyDescent="0.3">
      <c r="F2418" s="190"/>
    </row>
    <row r="2419" spans="6:6" x14ac:dyDescent="0.3">
      <c r="F2419" s="190"/>
    </row>
    <row r="2420" spans="6:6" x14ac:dyDescent="0.3">
      <c r="F2420" s="190"/>
    </row>
    <row r="2421" spans="6:6" x14ac:dyDescent="0.3">
      <c r="F2421" s="190"/>
    </row>
    <row r="2422" spans="6:6" x14ac:dyDescent="0.3">
      <c r="F2422" s="190"/>
    </row>
    <row r="2423" spans="6:6" x14ac:dyDescent="0.3">
      <c r="F2423" s="190"/>
    </row>
    <row r="2424" spans="6:6" x14ac:dyDescent="0.3">
      <c r="F2424" s="190"/>
    </row>
    <row r="2425" spans="6:6" x14ac:dyDescent="0.3">
      <c r="F2425" s="190"/>
    </row>
    <row r="2426" spans="6:6" x14ac:dyDescent="0.3">
      <c r="F2426" s="190"/>
    </row>
    <row r="2427" spans="6:6" x14ac:dyDescent="0.3">
      <c r="F2427" s="190"/>
    </row>
    <row r="2428" spans="6:6" x14ac:dyDescent="0.3">
      <c r="F2428" s="190"/>
    </row>
    <row r="2429" spans="6:6" x14ac:dyDescent="0.3">
      <c r="F2429" s="190"/>
    </row>
    <row r="2430" spans="6:6" x14ac:dyDescent="0.3">
      <c r="F2430" s="190"/>
    </row>
    <row r="2431" spans="6:6" x14ac:dyDescent="0.3">
      <c r="F2431" s="190"/>
    </row>
    <row r="2432" spans="6:6" x14ac:dyDescent="0.3">
      <c r="F2432" s="190"/>
    </row>
    <row r="2433" spans="6:6" x14ac:dyDescent="0.3">
      <c r="F2433" s="190"/>
    </row>
    <row r="2434" spans="6:6" x14ac:dyDescent="0.3">
      <c r="F2434" s="190"/>
    </row>
    <row r="2435" spans="6:6" x14ac:dyDescent="0.3">
      <c r="F2435" s="190"/>
    </row>
    <row r="2436" spans="6:6" x14ac:dyDescent="0.3">
      <c r="F2436" s="190"/>
    </row>
    <row r="2437" spans="6:6" x14ac:dyDescent="0.3">
      <c r="F2437" s="190"/>
    </row>
    <row r="2438" spans="6:6" x14ac:dyDescent="0.3">
      <c r="F2438" s="190"/>
    </row>
    <row r="2439" spans="6:6" x14ac:dyDescent="0.3">
      <c r="F2439" s="190"/>
    </row>
    <row r="2440" spans="6:6" x14ac:dyDescent="0.3">
      <c r="F2440" s="190"/>
    </row>
    <row r="2441" spans="6:6" x14ac:dyDescent="0.3">
      <c r="F2441" s="190"/>
    </row>
    <row r="2442" spans="6:6" x14ac:dyDescent="0.3">
      <c r="F2442" s="190"/>
    </row>
    <row r="2443" spans="6:6" x14ac:dyDescent="0.3">
      <c r="F2443" s="190"/>
    </row>
    <row r="2444" spans="6:6" x14ac:dyDescent="0.3">
      <c r="F2444" s="190"/>
    </row>
    <row r="2445" spans="6:6" x14ac:dyDescent="0.3">
      <c r="F2445" s="190"/>
    </row>
    <row r="2446" spans="6:6" x14ac:dyDescent="0.3">
      <c r="F2446" s="190"/>
    </row>
    <row r="2447" spans="6:6" x14ac:dyDescent="0.3">
      <c r="F2447" s="190"/>
    </row>
    <row r="2448" spans="6:6" x14ac:dyDescent="0.3">
      <c r="F2448" s="190"/>
    </row>
    <row r="2449" spans="6:6" x14ac:dyDescent="0.3">
      <c r="F2449" s="190"/>
    </row>
    <row r="2450" spans="6:6" x14ac:dyDescent="0.3">
      <c r="F2450" s="190"/>
    </row>
    <row r="2451" spans="6:6" x14ac:dyDescent="0.3">
      <c r="F2451" s="190"/>
    </row>
    <row r="2452" spans="6:6" x14ac:dyDescent="0.3">
      <c r="F2452" s="190"/>
    </row>
    <row r="2453" spans="6:6" x14ac:dyDescent="0.3">
      <c r="F2453" s="190"/>
    </row>
    <row r="2454" spans="6:6" x14ac:dyDescent="0.3">
      <c r="F2454" s="190"/>
    </row>
    <row r="2455" spans="6:6" x14ac:dyDescent="0.3">
      <c r="F2455" s="190"/>
    </row>
    <row r="2456" spans="6:6" x14ac:dyDescent="0.3">
      <c r="F2456" s="190"/>
    </row>
    <row r="2457" spans="6:6" x14ac:dyDescent="0.3">
      <c r="F2457" s="190"/>
    </row>
    <row r="2458" spans="6:6" x14ac:dyDescent="0.3">
      <c r="F2458" s="190"/>
    </row>
    <row r="2459" spans="6:6" x14ac:dyDescent="0.3">
      <c r="F2459" s="190"/>
    </row>
    <row r="2460" spans="6:6" x14ac:dyDescent="0.3">
      <c r="F2460" s="190"/>
    </row>
    <row r="2461" spans="6:6" x14ac:dyDescent="0.3">
      <c r="F2461" s="190"/>
    </row>
    <row r="2462" spans="6:6" x14ac:dyDescent="0.3">
      <c r="F2462" s="190"/>
    </row>
    <row r="2463" spans="6:6" x14ac:dyDescent="0.3">
      <c r="F2463" s="190"/>
    </row>
    <row r="2464" spans="6:6" x14ac:dyDescent="0.3">
      <c r="F2464" s="190"/>
    </row>
    <row r="2465" spans="6:6" x14ac:dyDescent="0.3">
      <c r="F2465" s="190"/>
    </row>
    <row r="2466" spans="6:6" x14ac:dyDescent="0.3">
      <c r="F2466" s="190"/>
    </row>
    <row r="2467" spans="6:6" x14ac:dyDescent="0.3">
      <c r="F2467" s="190"/>
    </row>
    <row r="2468" spans="6:6" x14ac:dyDescent="0.3">
      <c r="F2468" s="190"/>
    </row>
    <row r="2469" spans="6:6" x14ac:dyDescent="0.3">
      <c r="F2469" s="190"/>
    </row>
    <row r="2470" spans="6:6" x14ac:dyDescent="0.3">
      <c r="F2470" s="190"/>
    </row>
    <row r="2471" spans="6:6" x14ac:dyDescent="0.3">
      <c r="F2471" s="190"/>
    </row>
    <row r="2472" spans="6:6" x14ac:dyDescent="0.3">
      <c r="F2472" s="190"/>
    </row>
    <row r="2473" spans="6:6" x14ac:dyDescent="0.3">
      <c r="F2473" s="190"/>
    </row>
    <row r="2474" spans="6:6" x14ac:dyDescent="0.3">
      <c r="F2474" s="190"/>
    </row>
    <row r="2475" spans="6:6" x14ac:dyDescent="0.3">
      <c r="F2475" s="190"/>
    </row>
    <row r="2476" spans="6:6" x14ac:dyDescent="0.3">
      <c r="F2476" s="190"/>
    </row>
    <row r="2477" spans="6:6" x14ac:dyDescent="0.3">
      <c r="F2477" s="190"/>
    </row>
    <row r="2478" spans="6:6" x14ac:dyDescent="0.3">
      <c r="F2478" s="190"/>
    </row>
    <row r="2479" spans="6:6" x14ac:dyDescent="0.3">
      <c r="F2479" s="190"/>
    </row>
    <row r="2480" spans="6:6" x14ac:dyDescent="0.3">
      <c r="F2480" s="190"/>
    </row>
    <row r="2481" spans="6:6" x14ac:dyDescent="0.3">
      <c r="F2481" s="190"/>
    </row>
    <row r="2482" spans="6:6" x14ac:dyDescent="0.3">
      <c r="F2482" s="190"/>
    </row>
    <row r="2483" spans="6:6" x14ac:dyDescent="0.3">
      <c r="F2483" s="190"/>
    </row>
    <row r="2484" spans="6:6" x14ac:dyDescent="0.3">
      <c r="F2484" s="190"/>
    </row>
    <row r="2485" spans="6:6" x14ac:dyDescent="0.3">
      <c r="F2485" s="190"/>
    </row>
    <row r="2486" spans="6:6" x14ac:dyDescent="0.3">
      <c r="F2486" s="190"/>
    </row>
    <row r="2487" spans="6:6" x14ac:dyDescent="0.3">
      <c r="F2487" s="190"/>
    </row>
    <row r="2488" spans="6:6" x14ac:dyDescent="0.3">
      <c r="F2488" s="190"/>
    </row>
    <row r="2489" spans="6:6" x14ac:dyDescent="0.3">
      <c r="F2489" s="190"/>
    </row>
    <row r="2490" spans="6:6" x14ac:dyDescent="0.3">
      <c r="F2490" s="190"/>
    </row>
    <row r="2491" spans="6:6" x14ac:dyDescent="0.3">
      <c r="F2491" s="190"/>
    </row>
    <row r="2492" spans="6:6" x14ac:dyDescent="0.3">
      <c r="F2492" s="190"/>
    </row>
    <row r="2493" spans="6:6" x14ac:dyDescent="0.3">
      <c r="F2493" s="190"/>
    </row>
    <row r="2494" spans="6:6" x14ac:dyDescent="0.3">
      <c r="F2494" s="190"/>
    </row>
    <row r="2495" spans="6:6" x14ac:dyDescent="0.3">
      <c r="F2495" s="190"/>
    </row>
    <row r="2496" spans="6:6" x14ac:dyDescent="0.3">
      <c r="F2496" s="190"/>
    </row>
    <row r="2497" spans="6:6" x14ac:dyDescent="0.3">
      <c r="F2497" s="190"/>
    </row>
    <row r="2498" spans="6:6" x14ac:dyDescent="0.3">
      <c r="F2498" s="190"/>
    </row>
    <row r="2499" spans="6:6" x14ac:dyDescent="0.3">
      <c r="F2499" s="190"/>
    </row>
    <row r="2500" spans="6:6" x14ac:dyDescent="0.3">
      <c r="F2500" s="190"/>
    </row>
    <row r="2501" spans="6:6" x14ac:dyDescent="0.3">
      <c r="F2501" s="190"/>
    </row>
    <row r="2502" spans="6:6" x14ac:dyDescent="0.3">
      <c r="F2502" s="190"/>
    </row>
    <row r="2503" spans="6:6" x14ac:dyDescent="0.3">
      <c r="F2503" s="190"/>
    </row>
    <row r="2504" spans="6:6" x14ac:dyDescent="0.3">
      <c r="F2504" s="190"/>
    </row>
    <row r="2505" spans="6:6" x14ac:dyDescent="0.3">
      <c r="F2505" s="190"/>
    </row>
    <row r="2506" spans="6:6" x14ac:dyDescent="0.3">
      <c r="F2506" s="190"/>
    </row>
    <row r="2507" spans="6:6" x14ac:dyDescent="0.3">
      <c r="F2507" s="190"/>
    </row>
    <row r="2508" spans="6:6" x14ac:dyDescent="0.3">
      <c r="F2508" s="190"/>
    </row>
    <row r="2509" spans="6:6" x14ac:dyDescent="0.3">
      <c r="F2509" s="190"/>
    </row>
    <row r="2510" spans="6:6" x14ac:dyDescent="0.3">
      <c r="F2510" s="190"/>
    </row>
    <row r="2511" spans="6:6" x14ac:dyDescent="0.3">
      <c r="F2511" s="190"/>
    </row>
    <row r="2512" spans="6:6" x14ac:dyDescent="0.3">
      <c r="F2512" s="190"/>
    </row>
    <row r="2513" spans="6:6" x14ac:dyDescent="0.3">
      <c r="F2513" s="190"/>
    </row>
    <row r="2514" spans="6:6" x14ac:dyDescent="0.3">
      <c r="F2514" s="190"/>
    </row>
    <row r="2515" spans="6:6" x14ac:dyDescent="0.3">
      <c r="F2515" s="190"/>
    </row>
    <row r="2516" spans="6:6" x14ac:dyDescent="0.3">
      <c r="F2516" s="190"/>
    </row>
    <row r="2517" spans="6:6" x14ac:dyDescent="0.3">
      <c r="F2517" s="190"/>
    </row>
    <row r="2518" spans="6:6" x14ac:dyDescent="0.3">
      <c r="F2518" s="190"/>
    </row>
    <row r="2519" spans="6:6" x14ac:dyDescent="0.3">
      <c r="F2519" s="190"/>
    </row>
    <row r="2520" spans="6:6" x14ac:dyDescent="0.3">
      <c r="F2520" s="190"/>
    </row>
    <row r="2521" spans="6:6" x14ac:dyDescent="0.3">
      <c r="F2521" s="190"/>
    </row>
    <row r="2522" spans="6:6" x14ac:dyDescent="0.3">
      <c r="F2522" s="190"/>
    </row>
    <row r="2523" spans="6:6" x14ac:dyDescent="0.3">
      <c r="F2523" s="190"/>
    </row>
    <row r="2524" spans="6:6" x14ac:dyDescent="0.3">
      <c r="F2524" s="190"/>
    </row>
    <row r="2525" spans="6:6" x14ac:dyDescent="0.3">
      <c r="F2525" s="190"/>
    </row>
    <row r="2526" spans="6:6" x14ac:dyDescent="0.3">
      <c r="F2526" s="190"/>
    </row>
    <row r="2527" spans="6:6" x14ac:dyDescent="0.3">
      <c r="F2527" s="190"/>
    </row>
    <row r="2528" spans="6:6" x14ac:dyDescent="0.3">
      <c r="F2528" s="190"/>
    </row>
    <row r="2529" spans="6:6" x14ac:dyDescent="0.3">
      <c r="F2529" s="190"/>
    </row>
    <row r="2530" spans="6:6" x14ac:dyDescent="0.3">
      <c r="F2530" s="190"/>
    </row>
    <row r="2531" spans="6:6" x14ac:dyDescent="0.3">
      <c r="F2531" s="190"/>
    </row>
    <row r="2532" spans="6:6" x14ac:dyDescent="0.3">
      <c r="F2532" s="190"/>
    </row>
    <row r="2533" spans="6:6" x14ac:dyDescent="0.3">
      <c r="F2533" s="190"/>
    </row>
    <row r="2534" spans="6:6" x14ac:dyDescent="0.3">
      <c r="F2534" s="190"/>
    </row>
    <row r="2535" spans="6:6" x14ac:dyDescent="0.3">
      <c r="F2535" s="190"/>
    </row>
    <row r="2536" spans="6:6" x14ac:dyDescent="0.3">
      <c r="F2536" s="190"/>
    </row>
    <row r="2537" spans="6:6" x14ac:dyDescent="0.3">
      <c r="F2537" s="190"/>
    </row>
    <row r="2538" spans="6:6" x14ac:dyDescent="0.3">
      <c r="F2538" s="190"/>
    </row>
    <row r="2539" spans="6:6" x14ac:dyDescent="0.3">
      <c r="F2539" s="190"/>
    </row>
    <row r="2540" spans="6:6" x14ac:dyDescent="0.3">
      <c r="F2540" s="190"/>
    </row>
    <row r="2541" spans="6:6" x14ac:dyDescent="0.3">
      <c r="F2541" s="190"/>
    </row>
    <row r="2542" spans="6:6" x14ac:dyDescent="0.3">
      <c r="F2542" s="190"/>
    </row>
    <row r="2543" spans="6:6" x14ac:dyDescent="0.3">
      <c r="F2543" s="190"/>
    </row>
    <row r="2544" spans="6:6" x14ac:dyDescent="0.3">
      <c r="F2544" s="190"/>
    </row>
    <row r="2545" spans="6:6" x14ac:dyDescent="0.3">
      <c r="F2545" s="190"/>
    </row>
    <row r="2546" spans="6:6" x14ac:dyDescent="0.3">
      <c r="F2546" s="190"/>
    </row>
    <row r="2547" spans="6:6" x14ac:dyDescent="0.3">
      <c r="F2547" s="190"/>
    </row>
    <row r="2548" spans="6:6" x14ac:dyDescent="0.3">
      <c r="F2548" s="190"/>
    </row>
    <row r="2549" spans="6:6" x14ac:dyDescent="0.3">
      <c r="F2549" s="190"/>
    </row>
    <row r="2550" spans="6:6" x14ac:dyDescent="0.3">
      <c r="F2550" s="190"/>
    </row>
    <row r="2551" spans="6:6" x14ac:dyDescent="0.3">
      <c r="F2551" s="190"/>
    </row>
    <row r="2552" spans="6:6" x14ac:dyDescent="0.3">
      <c r="F2552" s="190"/>
    </row>
    <row r="2553" spans="6:6" x14ac:dyDescent="0.3">
      <c r="F2553" s="190"/>
    </row>
    <row r="2554" spans="6:6" x14ac:dyDescent="0.3">
      <c r="F2554" s="190"/>
    </row>
    <row r="2555" spans="6:6" x14ac:dyDescent="0.3">
      <c r="F2555" s="190"/>
    </row>
    <row r="2556" spans="6:6" x14ac:dyDescent="0.3">
      <c r="F2556" s="190"/>
    </row>
    <row r="2557" spans="6:6" x14ac:dyDescent="0.3">
      <c r="F2557" s="190"/>
    </row>
    <row r="2558" spans="6:6" x14ac:dyDescent="0.3">
      <c r="F2558" s="190"/>
    </row>
    <row r="2559" spans="6:6" x14ac:dyDescent="0.3">
      <c r="F2559" s="190"/>
    </row>
    <row r="2560" spans="6:6" x14ac:dyDescent="0.3">
      <c r="F2560" s="190"/>
    </row>
    <row r="2561" spans="6:6" x14ac:dyDescent="0.3">
      <c r="F2561" s="190"/>
    </row>
    <row r="2562" spans="6:6" x14ac:dyDescent="0.3">
      <c r="F2562" s="190"/>
    </row>
    <row r="2563" spans="6:6" x14ac:dyDescent="0.3">
      <c r="F2563" s="190"/>
    </row>
    <row r="2564" spans="6:6" x14ac:dyDescent="0.3">
      <c r="F2564" s="190"/>
    </row>
    <row r="2565" spans="6:6" x14ac:dyDescent="0.3">
      <c r="F2565" s="190"/>
    </row>
    <row r="2566" spans="6:6" x14ac:dyDescent="0.3">
      <c r="F2566" s="190"/>
    </row>
    <row r="2567" spans="6:6" x14ac:dyDescent="0.3">
      <c r="F2567" s="190"/>
    </row>
    <row r="2568" spans="6:6" x14ac:dyDescent="0.3">
      <c r="F2568" s="190"/>
    </row>
    <row r="2569" spans="6:6" x14ac:dyDescent="0.3">
      <c r="F2569" s="190"/>
    </row>
    <row r="2570" spans="6:6" x14ac:dyDescent="0.3">
      <c r="F2570" s="190"/>
    </row>
    <row r="2571" spans="6:6" x14ac:dyDescent="0.3">
      <c r="F2571" s="190"/>
    </row>
    <row r="2572" spans="6:6" x14ac:dyDescent="0.3">
      <c r="F2572" s="190"/>
    </row>
    <row r="2573" spans="6:6" x14ac:dyDescent="0.3">
      <c r="F2573" s="190"/>
    </row>
    <row r="2574" spans="6:6" x14ac:dyDescent="0.3">
      <c r="F2574" s="190"/>
    </row>
    <row r="2575" spans="6:6" x14ac:dyDescent="0.3">
      <c r="F2575" s="190"/>
    </row>
    <row r="2576" spans="6:6" x14ac:dyDescent="0.3">
      <c r="F2576" s="190"/>
    </row>
    <row r="2577" spans="6:6" x14ac:dyDescent="0.3">
      <c r="F2577" s="190"/>
    </row>
    <row r="2578" spans="6:6" x14ac:dyDescent="0.3">
      <c r="F2578" s="190"/>
    </row>
    <row r="2579" spans="6:6" x14ac:dyDescent="0.3">
      <c r="F2579" s="190"/>
    </row>
    <row r="2580" spans="6:6" x14ac:dyDescent="0.3">
      <c r="F2580" s="190"/>
    </row>
    <row r="2581" spans="6:6" x14ac:dyDescent="0.3">
      <c r="F2581" s="190"/>
    </row>
    <row r="2582" spans="6:6" x14ac:dyDescent="0.3">
      <c r="F2582" s="190"/>
    </row>
    <row r="2583" spans="6:6" x14ac:dyDescent="0.3">
      <c r="F2583" s="190"/>
    </row>
    <row r="2584" spans="6:6" x14ac:dyDescent="0.3">
      <c r="F2584" s="190"/>
    </row>
    <row r="2585" spans="6:6" x14ac:dyDescent="0.3">
      <c r="F2585" s="190"/>
    </row>
    <row r="2586" spans="6:6" x14ac:dyDescent="0.3">
      <c r="F2586" s="190"/>
    </row>
    <row r="2587" spans="6:6" x14ac:dyDescent="0.3">
      <c r="F2587" s="190"/>
    </row>
    <row r="2588" spans="6:6" x14ac:dyDescent="0.3">
      <c r="F2588" s="190"/>
    </row>
    <row r="2589" spans="6:6" x14ac:dyDescent="0.3">
      <c r="F2589" s="190"/>
    </row>
    <row r="2590" spans="6:6" x14ac:dyDescent="0.3">
      <c r="F2590" s="190"/>
    </row>
    <row r="2591" spans="6:6" x14ac:dyDescent="0.3">
      <c r="F2591" s="190"/>
    </row>
    <row r="2592" spans="6:6" x14ac:dyDescent="0.3">
      <c r="F2592" s="190"/>
    </row>
    <row r="2593" spans="6:6" x14ac:dyDescent="0.3">
      <c r="F2593" s="190"/>
    </row>
    <row r="2594" spans="6:6" x14ac:dyDescent="0.3">
      <c r="F2594" s="190"/>
    </row>
    <row r="2595" spans="6:6" x14ac:dyDescent="0.3">
      <c r="F2595" s="190"/>
    </row>
    <row r="2596" spans="6:6" x14ac:dyDescent="0.3">
      <c r="F2596" s="190"/>
    </row>
    <row r="2597" spans="6:6" x14ac:dyDescent="0.3">
      <c r="F2597" s="190"/>
    </row>
    <row r="2598" spans="6:6" x14ac:dyDescent="0.3">
      <c r="F2598" s="190"/>
    </row>
    <row r="2599" spans="6:6" x14ac:dyDescent="0.3">
      <c r="F2599" s="190"/>
    </row>
    <row r="2600" spans="6:6" x14ac:dyDescent="0.3">
      <c r="F2600" s="190"/>
    </row>
    <row r="2601" spans="6:6" x14ac:dyDescent="0.3">
      <c r="F2601" s="190"/>
    </row>
    <row r="2602" spans="6:6" x14ac:dyDescent="0.3">
      <c r="F2602" s="190"/>
    </row>
    <row r="2603" spans="6:6" x14ac:dyDescent="0.3">
      <c r="F2603" s="190"/>
    </row>
    <row r="2604" spans="6:6" x14ac:dyDescent="0.3">
      <c r="F2604" s="190"/>
    </row>
    <row r="2605" spans="6:6" x14ac:dyDescent="0.3">
      <c r="F2605" s="190"/>
    </row>
    <row r="2606" spans="6:6" x14ac:dyDescent="0.3">
      <c r="F2606" s="190"/>
    </row>
    <row r="2607" spans="6:6" x14ac:dyDescent="0.3">
      <c r="F2607" s="190"/>
    </row>
    <row r="2608" spans="6:6" x14ac:dyDescent="0.3">
      <c r="F2608" s="190"/>
    </row>
    <row r="2609" spans="6:6" x14ac:dyDescent="0.3">
      <c r="F2609" s="190"/>
    </row>
    <row r="2610" spans="6:6" x14ac:dyDescent="0.3">
      <c r="F2610" s="190"/>
    </row>
    <row r="2611" spans="6:6" x14ac:dyDescent="0.3">
      <c r="F2611" s="190"/>
    </row>
    <row r="2612" spans="6:6" x14ac:dyDescent="0.3">
      <c r="F2612" s="190"/>
    </row>
    <row r="2613" spans="6:6" x14ac:dyDescent="0.3">
      <c r="F2613" s="190"/>
    </row>
    <row r="2614" spans="6:6" x14ac:dyDescent="0.3">
      <c r="F2614" s="190"/>
    </row>
    <row r="2615" spans="6:6" x14ac:dyDescent="0.3">
      <c r="F2615" s="190"/>
    </row>
    <row r="2616" spans="6:6" x14ac:dyDescent="0.3">
      <c r="F2616" s="190"/>
    </row>
    <row r="2617" spans="6:6" x14ac:dyDescent="0.3">
      <c r="F2617" s="190"/>
    </row>
    <row r="2618" spans="6:6" x14ac:dyDescent="0.3">
      <c r="F2618" s="190"/>
    </row>
    <row r="2619" spans="6:6" x14ac:dyDescent="0.3">
      <c r="F2619" s="190"/>
    </row>
    <row r="2620" spans="6:6" x14ac:dyDescent="0.3">
      <c r="F2620" s="190"/>
    </row>
    <row r="2621" spans="6:6" x14ac:dyDescent="0.3">
      <c r="F2621" s="190"/>
    </row>
    <row r="2622" spans="6:6" x14ac:dyDescent="0.3">
      <c r="F2622" s="190"/>
    </row>
    <row r="2623" spans="6:6" x14ac:dyDescent="0.3">
      <c r="F2623" s="190"/>
    </row>
    <row r="2624" spans="6:6" x14ac:dyDescent="0.3">
      <c r="F2624" s="190"/>
    </row>
    <row r="2625" spans="6:6" x14ac:dyDescent="0.3">
      <c r="F2625" s="190"/>
    </row>
    <row r="2626" spans="6:6" x14ac:dyDescent="0.3">
      <c r="F2626" s="190"/>
    </row>
    <row r="2627" spans="6:6" x14ac:dyDescent="0.3">
      <c r="F2627" s="190"/>
    </row>
    <row r="2628" spans="6:6" x14ac:dyDescent="0.3">
      <c r="F2628" s="190"/>
    </row>
    <row r="2629" spans="6:6" x14ac:dyDescent="0.3">
      <c r="F2629" s="190"/>
    </row>
    <row r="2630" spans="6:6" x14ac:dyDescent="0.3">
      <c r="F2630" s="190"/>
    </row>
    <row r="2631" spans="6:6" x14ac:dyDescent="0.3">
      <c r="F2631" s="190"/>
    </row>
    <row r="2632" spans="6:6" x14ac:dyDescent="0.3">
      <c r="F2632" s="190"/>
    </row>
    <row r="2633" spans="6:6" x14ac:dyDescent="0.3">
      <c r="F2633" s="190"/>
    </row>
    <row r="2634" spans="6:6" x14ac:dyDescent="0.3">
      <c r="F2634" s="190"/>
    </row>
    <row r="2635" spans="6:6" x14ac:dyDescent="0.3">
      <c r="F2635" s="190"/>
    </row>
    <row r="2636" spans="6:6" x14ac:dyDescent="0.3">
      <c r="F2636" s="190"/>
    </row>
    <row r="2637" spans="6:6" x14ac:dyDescent="0.3">
      <c r="F2637" s="190"/>
    </row>
    <row r="2638" spans="6:6" x14ac:dyDescent="0.3">
      <c r="F2638" s="190"/>
    </row>
    <row r="2639" spans="6:6" x14ac:dyDescent="0.3">
      <c r="F2639" s="190"/>
    </row>
    <row r="2640" spans="6:6" x14ac:dyDescent="0.3">
      <c r="F2640" s="190"/>
    </row>
    <row r="2641" spans="6:6" x14ac:dyDescent="0.3">
      <c r="F2641" s="190"/>
    </row>
    <row r="2642" spans="6:6" x14ac:dyDescent="0.3">
      <c r="F2642" s="190"/>
    </row>
    <row r="2643" spans="6:6" x14ac:dyDescent="0.3">
      <c r="F2643" s="190"/>
    </row>
    <row r="2644" spans="6:6" x14ac:dyDescent="0.3">
      <c r="F2644" s="190"/>
    </row>
    <row r="2645" spans="6:6" x14ac:dyDescent="0.3">
      <c r="F2645" s="190"/>
    </row>
    <row r="2646" spans="6:6" x14ac:dyDescent="0.3">
      <c r="F2646" s="190"/>
    </row>
    <row r="2647" spans="6:6" x14ac:dyDescent="0.3">
      <c r="F2647" s="190"/>
    </row>
    <row r="2648" spans="6:6" x14ac:dyDescent="0.3">
      <c r="F2648" s="190"/>
    </row>
    <row r="2649" spans="6:6" x14ac:dyDescent="0.3">
      <c r="F2649" s="190"/>
    </row>
    <row r="2650" spans="6:6" x14ac:dyDescent="0.3">
      <c r="F2650" s="190"/>
    </row>
    <row r="2651" spans="6:6" x14ac:dyDescent="0.3">
      <c r="F2651" s="190"/>
    </row>
    <row r="2652" spans="6:6" x14ac:dyDescent="0.3">
      <c r="F2652" s="190"/>
    </row>
    <row r="2653" spans="6:6" x14ac:dyDescent="0.3">
      <c r="F2653" s="190"/>
    </row>
    <row r="2654" spans="6:6" x14ac:dyDescent="0.3">
      <c r="F2654" s="190"/>
    </row>
    <row r="2655" spans="6:6" x14ac:dyDescent="0.3">
      <c r="F2655" s="190"/>
    </row>
    <row r="2656" spans="6:6" x14ac:dyDescent="0.3">
      <c r="F2656" s="190"/>
    </row>
    <row r="2657" spans="6:6" x14ac:dyDescent="0.3">
      <c r="F2657" s="190"/>
    </row>
    <row r="2658" spans="6:6" x14ac:dyDescent="0.3">
      <c r="F2658" s="190"/>
    </row>
    <row r="2659" spans="6:6" x14ac:dyDescent="0.3">
      <c r="F2659" s="190"/>
    </row>
    <row r="2660" spans="6:6" x14ac:dyDescent="0.3">
      <c r="F2660" s="190"/>
    </row>
    <row r="2661" spans="6:6" x14ac:dyDescent="0.3">
      <c r="F2661" s="190"/>
    </row>
    <row r="2662" spans="6:6" x14ac:dyDescent="0.3">
      <c r="F2662" s="190"/>
    </row>
    <row r="2663" spans="6:6" x14ac:dyDescent="0.3">
      <c r="F2663" s="190"/>
    </row>
    <row r="2664" spans="6:6" x14ac:dyDescent="0.3">
      <c r="F2664" s="190"/>
    </row>
    <row r="2665" spans="6:6" x14ac:dyDescent="0.3">
      <c r="F2665" s="190"/>
    </row>
    <row r="2666" spans="6:6" x14ac:dyDescent="0.3">
      <c r="F2666" s="190"/>
    </row>
    <row r="2667" spans="6:6" x14ac:dyDescent="0.3">
      <c r="F2667" s="190"/>
    </row>
    <row r="2668" spans="6:6" x14ac:dyDescent="0.3">
      <c r="F2668" s="190"/>
    </row>
    <row r="2669" spans="6:6" x14ac:dyDescent="0.3">
      <c r="F2669" s="190"/>
    </row>
    <row r="2670" spans="6:6" x14ac:dyDescent="0.3">
      <c r="F2670" s="190"/>
    </row>
    <row r="2671" spans="6:6" x14ac:dyDescent="0.3">
      <c r="F2671" s="190"/>
    </row>
    <row r="2672" spans="6:6" x14ac:dyDescent="0.3">
      <c r="F2672" s="190"/>
    </row>
    <row r="2673" spans="6:6" x14ac:dyDescent="0.3">
      <c r="F2673" s="190"/>
    </row>
    <row r="2674" spans="6:6" x14ac:dyDescent="0.3">
      <c r="F2674" s="190"/>
    </row>
    <row r="2675" spans="6:6" x14ac:dyDescent="0.3">
      <c r="F2675" s="190"/>
    </row>
    <row r="2676" spans="6:6" x14ac:dyDescent="0.3">
      <c r="F2676" s="190"/>
    </row>
    <row r="2677" spans="6:6" x14ac:dyDescent="0.3">
      <c r="F2677" s="190"/>
    </row>
    <row r="2678" spans="6:6" x14ac:dyDescent="0.3">
      <c r="F2678" s="190"/>
    </row>
    <row r="2679" spans="6:6" x14ac:dyDescent="0.3">
      <c r="F2679" s="190"/>
    </row>
    <row r="2680" spans="6:6" x14ac:dyDescent="0.3">
      <c r="F2680" s="190"/>
    </row>
    <row r="2681" spans="6:6" x14ac:dyDescent="0.3">
      <c r="F2681" s="190"/>
    </row>
    <row r="2682" spans="6:6" x14ac:dyDescent="0.3">
      <c r="F2682" s="190"/>
    </row>
    <row r="2683" spans="6:6" x14ac:dyDescent="0.3">
      <c r="F2683" s="190"/>
    </row>
    <row r="2684" spans="6:6" x14ac:dyDescent="0.3">
      <c r="F2684" s="190"/>
    </row>
    <row r="2685" spans="6:6" x14ac:dyDescent="0.3">
      <c r="F2685" s="190"/>
    </row>
    <row r="2686" spans="6:6" x14ac:dyDescent="0.3">
      <c r="F2686" s="190"/>
    </row>
    <row r="2687" spans="6:6" x14ac:dyDescent="0.3">
      <c r="F2687" s="190"/>
    </row>
    <row r="2688" spans="6:6" x14ac:dyDescent="0.3">
      <c r="F2688" s="190"/>
    </row>
    <row r="2689" spans="6:6" x14ac:dyDescent="0.3">
      <c r="F2689" s="190"/>
    </row>
    <row r="2690" spans="6:6" x14ac:dyDescent="0.3">
      <c r="F2690" s="190"/>
    </row>
    <row r="2691" spans="6:6" x14ac:dyDescent="0.3">
      <c r="F2691" s="190"/>
    </row>
    <row r="2692" spans="6:6" x14ac:dyDescent="0.3">
      <c r="F2692" s="190"/>
    </row>
    <row r="2693" spans="6:6" x14ac:dyDescent="0.3">
      <c r="F2693" s="190"/>
    </row>
    <row r="2694" spans="6:6" x14ac:dyDescent="0.3">
      <c r="F2694" s="190"/>
    </row>
    <row r="2695" spans="6:6" x14ac:dyDescent="0.3">
      <c r="F2695" s="190"/>
    </row>
    <row r="2696" spans="6:6" x14ac:dyDescent="0.3">
      <c r="F2696" s="190"/>
    </row>
    <row r="2697" spans="6:6" x14ac:dyDescent="0.3">
      <c r="F2697" s="190"/>
    </row>
    <row r="2698" spans="6:6" x14ac:dyDescent="0.3">
      <c r="F2698" s="190"/>
    </row>
    <row r="2699" spans="6:6" x14ac:dyDescent="0.3">
      <c r="F2699" s="190"/>
    </row>
    <row r="2700" spans="6:6" x14ac:dyDescent="0.3">
      <c r="F2700" s="190"/>
    </row>
    <row r="2701" spans="6:6" x14ac:dyDescent="0.3">
      <c r="F2701" s="190"/>
    </row>
    <row r="2702" spans="6:6" x14ac:dyDescent="0.3">
      <c r="F2702" s="190"/>
    </row>
    <row r="2703" spans="6:6" x14ac:dyDescent="0.3">
      <c r="F2703" s="190"/>
    </row>
    <row r="2704" spans="6:6" x14ac:dyDescent="0.3">
      <c r="F2704" s="190"/>
    </row>
    <row r="2705" spans="6:6" x14ac:dyDescent="0.3">
      <c r="F2705" s="190"/>
    </row>
    <row r="2706" spans="6:6" x14ac:dyDescent="0.3">
      <c r="F2706" s="190"/>
    </row>
    <row r="2707" spans="6:6" x14ac:dyDescent="0.3">
      <c r="F2707" s="190"/>
    </row>
    <row r="2708" spans="6:6" x14ac:dyDescent="0.3">
      <c r="F2708" s="190"/>
    </row>
    <row r="2709" spans="6:6" x14ac:dyDescent="0.3">
      <c r="F2709" s="190"/>
    </row>
    <row r="2710" spans="6:6" x14ac:dyDescent="0.3">
      <c r="F2710" s="190"/>
    </row>
    <row r="2711" spans="6:6" x14ac:dyDescent="0.3">
      <c r="F2711" s="190"/>
    </row>
    <row r="2712" spans="6:6" x14ac:dyDescent="0.3">
      <c r="F2712" s="190"/>
    </row>
    <row r="2713" spans="6:6" x14ac:dyDescent="0.3">
      <c r="F2713" s="190"/>
    </row>
    <row r="2714" spans="6:6" x14ac:dyDescent="0.3">
      <c r="F2714" s="190"/>
    </row>
    <row r="2715" spans="6:6" x14ac:dyDescent="0.3">
      <c r="F2715" s="190"/>
    </row>
    <row r="2716" spans="6:6" x14ac:dyDescent="0.3">
      <c r="F2716" s="190"/>
    </row>
    <row r="2717" spans="6:6" x14ac:dyDescent="0.3">
      <c r="F2717" s="190"/>
    </row>
    <row r="2718" spans="6:6" x14ac:dyDescent="0.3">
      <c r="F2718" s="190"/>
    </row>
    <row r="2719" spans="6:6" x14ac:dyDescent="0.3">
      <c r="F2719" s="190"/>
    </row>
    <row r="2720" spans="6:6" x14ac:dyDescent="0.3">
      <c r="F2720" s="190"/>
    </row>
    <row r="2721" spans="6:6" x14ac:dyDescent="0.3">
      <c r="F2721" s="190"/>
    </row>
    <row r="2722" spans="6:6" x14ac:dyDescent="0.3">
      <c r="F2722" s="190"/>
    </row>
    <row r="2723" spans="6:6" x14ac:dyDescent="0.3">
      <c r="F2723" s="190"/>
    </row>
    <row r="2724" spans="6:6" x14ac:dyDescent="0.3">
      <c r="F2724" s="190"/>
    </row>
    <row r="2725" spans="6:6" x14ac:dyDescent="0.3">
      <c r="F2725" s="190"/>
    </row>
    <row r="2726" spans="6:6" x14ac:dyDescent="0.3">
      <c r="F2726" s="190"/>
    </row>
    <row r="2727" spans="6:6" x14ac:dyDescent="0.3">
      <c r="F2727" s="190"/>
    </row>
    <row r="2728" spans="6:6" x14ac:dyDescent="0.3">
      <c r="F2728" s="190"/>
    </row>
    <row r="2729" spans="6:6" x14ac:dyDescent="0.3">
      <c r="F2729" s="190"/>
    </row>
    <row r="2730" spans="6:6" x14ac:dyDescent="0.3">
      <c r="F2730" s="190"/>
    </row>
    <row r="2731" spans="6:6" x14ac:dyDescent="0.3">
      <c r="F2731" s="190"/>
    </row>
    <row r="2732" spans="6:6" x14ac:dyDescent="0.3">
      <c r="F2732" s="190"/>
    </row>
    <row r="2733" spans="6:6" x14ac:dyDescent="0.3">
      <c r="F2733" s="190"/>
    </row>
    <row r="2734" spans="6:6" x14ac:dyDescent="0.3">
      <c r="F2734" s="190"/>
    </row>
    <row r="2735" spans="6:6" x14ac:dyDescent="0.3">
      <c r="F2735" s="190"/>
    </row>
    <row r="2736" spans="6:6" x14ac:dyDescent="0.3">
      <c r="F2736" s="190"/>
    </row>
    <row r="2737" spans="6:6" x14ac:dyDescent="0.3">
      <c r="F2737" s="190"/>
    </row>
    <row r="2738" spans="6:6" x14ac:dyDescent="0.3">
      <c r="F2738" s="190"/>
    </row>
    <row r="2739" spans="6:6" x14ac:dyDescent="0.3">
      <c r="F2739" s="190"/>
    </row>
    <row r="2740" spans="6:6" x14ac:dyDescent="0.3">
      <c r="F2740" s="190"/>
    </row>
    <row r="2741" spans="6:6" x14ac:dyDescent="0.3">
      <c r="F2741" s="190"/>
    </row>
    <row r="2742" spans="6:6" x14ac:dyDescent="0.3">
      <c r="F2742" s="190"/>
    </row>
    <row r="2743" spans="6:6" x14ac:dyDescent="0.3">
      <c r="F2743" s="190"/>
    </row>
    <row r="2744" spans="6:6" x14ac:dyDescent="0.3">
      <c r="F2744" s="190"/>
    </row>
    <row r="2745" spans="6:6" x14ac:dyDescent="0.3">
      <c r="F2745" s="190"/>
    </row>
    <row r="2746" spans="6:6" x14ac:dyDescent="0.3">
      <c r="F2746" s="190"/>
    </row>
    <row r="2747" spans="6:6" x14ac:dyDescent="0.3">
      <c r="F2747" s="190"/>
    </row>
    <row r="2748" spans="6:6" x14ac:dyDescent="0.3">
      <c r="F2748" s="190"/>
    </row>
    <row r="2749" spans="6:6" x14ac:dyDescent="0.3">
      <c r="F2749" s="190"/>
    </row>
    <row r="2750" spans="6:6" x14ac:dyDescent="0.3">
      <c r="F2750" s="190"/>
    </row>
    <row r="2751" spans="6:6" x14ac:dyDescent="0.3">
      <c r="F2751" s="190"/>
    </row>
    <row r="2752" spans="6:6" x14ac:dyDescent="0.3">
      <c r="F2752" s="190"/>
    </row>
    <row r="2753" spans="6:6" x14ac:dyDescent="0.3">
      <c r="F2753" s="190"/>
    </row>
    <row r="2754" spans="6:6" x14ac:dyDescent="0.3">
      <c r="F2754" s="190"/>
    </row>
    <row r="2755" spans="6:6" x14ac:dyDescent="0.3">
      <c r="F2755" s="190"/>
    </row>
    <row r="2756" spans="6:6" x14ac:dyDescent="0.3">
      <c r="F2756" s="190"/>
    </row>
    <row r="2757" spans="6:6" x14ac:dyDescent="0.3">
      <c r="F2757" s="190"/>
    </row>
    <row r="2758" spans="6:6" x14ac:dyDescent="0.3">
      <c r="F2758" s="190"/>
    </row>
    <row r="2759" spans="6:6" x14ac:dyDescent="0.3">
      <c r="F2759" s="190"/>
    </row>
    <row r="2760" spans="6:6" x14ac:dyDescent="0.3">
      <c r="F2760" s="190"/>
    </row>
    <row r="2761" spans="6:6" x14ac:dyDescent="0.3">
      <c r="F2761" s="190"/>
    </row>
    <row r="2762" spans="6:6" x14ac:dyDescent="0.3">
      <c r="F2762" s="190"/>
    </row>
    <row r="2763" spans="6:6" x14ac:dyDescent="0.3">
      <c r="F2763" s="190"/>
    </row>
    <row r="2764" spans="6:6" x14ac:dyDescent="0.3">
      <c r="F2764" s="190"/>
    </row>
    <row r="2765" spans="6:6" x14ac:dyDescent="0.3">
      <c r="F2765" s="190"/>
    </row>
    <row r="2766" spans="6:6" x14ac:dyDescent="0.3">
      <c r="F2766" s="190"/>
    </row>
    <row r="2767" spans="6:6" x14ac:dyDescent="0.3">
      <c r="F2767" s="190"/>
    </row>
    <row r="2768" spans="6:6" x14ac:dyDescent="0.3">
      <c r="F2768" s="190"/>
    </row>
    <row r="2769" spans="6:6" x14ac:dyDescent="0.3">
      <c r="F2769" s="190"/>
    </row>
    <row r="2770" spans="6:6" x14ac:dyDescent="0.3">
      <c r="F2770" s="190"/>
    </row>
    <row r="2771" spans="6:6" x14ac:dyDescent="0.3">
      <c r="F2771" s="190"/>
    </row>
    <row r="2772" spans="6:6" x14ac:dyDescent="0.3">
      <c r="F2772" s="190"/>
    </row>
    <row r="2773" spans="6:6" x14ac:dyDescent="0.3">
      <c r="F2773" s="190"/>
    </row>
    <row r="2774" spans="6:6" x14ac:dyDescent="0.3">
      <c r="F2774" s="190"/>
    </row>
    <row r="2775" spans="6:6" x14ac:dyDescent="0.3">
      <c r="F2775" s="190"/>
    </row>
    <row r="2776" spans="6:6" x14ac:dyDescent="0.3">
      <c r="F2776" s="190"/>
    </row>
    <row r="2777" spans="6:6" x14ac:dyDescent="0.3">
      <c r="F2777" s="190"/>
    </row>
    <row r="2778" spans="6:6" x14ac:dyDescent="0.3">
      <c r="F2778" s="190"/>
    </row>
    <row r="2779" spans="6:6" x14ac:dyDescent="0.3">
      <c r="F2779" s="190"/>
    </row>
    <row r="2780" spans="6:6" x14ac:dyDescent="0.3">
      <c r="F2780" s="190"/>
    </row>
    <row r="2781" spans="6:6" x14ac:dyDescent="0.3">
      <c r="F2781" s="190"/>
    </row>
    <row r="2782" spans="6:6" x14ac:dyDescent="0.3">
      <c r="F2782" s="190"/>
    </row>
    <row r="2783" spans="6:6" x14ac:dyDescent="0.3">
      <c r="F2783" s="190"/>
    </row>
    <row r="2784" spans="6:6" x14ac:dyDescent="0.3">
      <c r="F2784" s="190"/>
    </row>
    <row r="2785" spans="6:6" x14ac:dyDescent="0.3">
      <c r="F2785" s="190"/>
    </row>
    <row r="2786" spans="6:6" x14ac:dyDescent="0.3">
      <c r="F2786" s="190"/>
    </row>
    <row r="2787" spans="6:6" x14ac:dyDescent="0.3">
      <c r="F2787" s="190"/>
    </row>
    <row r="2788" spans="6:6" x14ac:dyDescent="0.3">
      <c r="F2788" s="190"/>
    </row>
    <row r="2789" spans="6:6" x14ac:dyDescent="0.3">
      <c r="F2789" s="190"/>
    </row>
    <row r="2790" spans="6:6" x14ac:dyDescent="0.3">
      <c r="F2790" s="190"/>
    </row>
    <row r="2791" spans="6:6" x14ac:dyDescent="0.3">
      <c r="F2791" s="190"/>
    </row>
    <row r="2792" spans="6:6" x14ac:dyDescent="0.3">
      <c r="F2792" s="190"/>
    </row>
    <row r="2793" spans="6:6" x14ac:dyDescent="0.3">
      <c r="F2793" s="190"/>
    </row>
    <row r="2794" spans="6:6" x14ac:dyDescent="0.3">
      <c r="F2794" s="190"/>
    </row>
    <row r="2795" spans="6:6" x14ac:dyDescent="0.3">
      <c r="F2795" s="190"/>
    </row>
    <row r="2796" spans="6:6" x14ac:dyDescent="0.3">
      <c r="F2796" s="190"/>
    </row>
    <row r="2797" spans="6:6" x14ac:dyDescent="0.3">
      <c r="F2797" s="190"/>
    </row>
    <row r="2798" spans="6:6" x14ac:dyDescent="0.3">
      <c r="F2798" s="190"/>
    </row>
    <row r="2799" spans="6:6" x14ac:dyDescent="0.3">
      <c r="F2799" s="190"/>
    </row>
    <row r="2800" spans="6:6" x14ac:dyDescent="0.3">
      <c r="F2800" s="190"/>
    </row>
    <row r="2801" spans="6:6" x14ac:dyDescent="0.3">
      <c r="F2801" s="190"/>
    </row>
    <row r="2802" spans="6:6" x14ac:dyDescent="0.3">
      <c r="F2802" s="190"/>
    </row>
    <row r="2803" spans="6:6" x14ac:dyDescent="0.3">
      <c r="F2803" s="190"/>
    </row>
    <row r="2804" spans="6:6" x14ac:dyDescent="0.3">
      <c r="F2804" s="190"/>
    </row>
    <row r="2805" spans="6:6" x14ac:dyDescent="0.3">
      <c r="F2805" s="190"/>
    </row>
    <row r="2806" spans="6:6" x14ac:dyDescent="0.3">
      <c r="F2806" s="190"/>
    </row>
    <row r="2807" spans="6:6" x14ac:dyDescent="0.3">
      <c r="F2807" s="190"/>
    </row>
    <row r="2808" spans="6:6" x14ac:dyDescent="0.3">
      <c r="F2808" s="190"/>
    </row>
    <row r="2809" spans="6:6" x14ac:dyDescent="0.3">
      <c r="F2809" s="190"/>
    </row>
    <row r="2810" spans="6:6" x14ac:dyDescent="0.3">
      <c r="F2810" s="190"/>
    </row>
    <row r="2811" spans="6:6" x14ac:dyDescent="0.3">
      <c r="F2811" s="190"/>
    </row>
    <row r="2812" spans="6:6" x14ac:dyDescent="0.3">
      <c r="F2812" s="190"/>
    </row>
    <row r="2813" spans="6:6" x14ac:dyDescent="0.3">
      <c r="F2813" s="190"/>
    </row>
    <row r="2814" spans="6:6" x14ac:dyDescent="0.3">
      <c r="F2814" s="190"/>
    </row>
    <row r="2815" spans="6:6" x14ac:dyDescent="0.3">
      <c r="F2815" s="190"/>
    </row>
    <row r="2816" spans="6:6" x14ac:dyDescent="0.3">
      <c r="F2816" s="190"/>
    </row>
    <row r="2817" spans="6:6" x14ac:dyDescent="0.3">
      <c r="F2817" s="190"/>
    </row>
    <row r="2818" spans="6:6" x14ac:dyDescent="0.3">
      <c r="F2818" s="190"/>
    </row>
    <row r="2819" spans="6:6" x14ac:dyDescent="0.3">
      <c r="F2819" s="190"/>
    </row>
    <row r="2820" spans="6:6" x14ac:dyDescent="0.3">
      <c r="F2820" s="190"/>
    </row>
    <row r="2821" spans="6:6" x14ac:dyDescent="0.3">
      <c r="F2821" s="190"/>
    </row>
    <row r="2822" spans="6:6" x14ac:dyDescent="0.3">
      <c r="F2822" s="190"/>
    </row>
    <row r="2823" spans="6:6" x14ac:dyDescent="0.3">
      <c r="F2823" s="190"/>
    </row>
    <row r="2824" spans="6:6" x14ac:dyDescent="0.3">
      <c r="F2824" s="190"/>
    </row>
    <row r="2825" spans="6:6" x14ac:dyDescent="0.3">
      <c r="F2825" s="190"/>
    </row>
    <row r="2826" spans="6:6" x14ac:dyDescent="0.3">
      <c r="F2826" s="190"/>
    </row>
    <row r="2827" spans="6:6" x14ac:dyDescent="0.3">
      <c r="F2827" s="190"/>
    </row>
    <row r="2828" spans="6:6" x14ac:dyDescent="0.3">
      <c r="F2828" s="190"/>
    </row>
    <row r="2829" spans="6:6" x14ac:dyDescent="0.3">
      <c r="F2829" s="190"/>
    </row>
    <row r="2830" spans="6:6" x14ac:dyDescent="0.3">
      <c r="F2830" s="190"/>
    </row>
    <row r="2831" spans="6:6" x14ac:dyDescent="0.3">
      <c r="F2831" s="190"/>
    </row>
    <row r="2832" spans="6:6" x14ac:dyDescent="0.3">
      <c r="F2832" s="190"/>
    </row>
    <row r="2833" spans="6:6" x14ac:dyDescent="0.3">
      <c r="F2833" s="190"/>
    </row>
    <row r="2834" spans="6:6" x14ac:dyDescent="0.3">
      <c r="F2834" s="190"/>
    </row>
    <row r="2835" spans="6:6" x14ac:dyDescent="0.3">
      <c r="F2835" s="190"/>
    </row>
    <row r="2836" spans="6:6" x14ac:dyDescent="0.3">
      <c r="F2836" s="190"/>
    </row>
    <row r="2837" spans="6:6" x14ac:dyDescent="0.3">
      <c r="F2837" s="190"/>
    </row>
    <row r="2838" spans="6:6" x14ac:dyDescent="0.3">
      <c r="F2838" s="190"/>
    </row>
    <row r="2839" spans="6:6" x14ac:dyDescent="0.3">
      <c r="F2839" s="190"/>
    </row>
    <row r="2840" spans="6:6" x14ac:dyDescent="0.3">
      <c r="F2840" s="190"/>
    </row>
    <row r="2841" spans="6:6" x14ac:dyDescent="0.3">
      <c r="F2841" s="190"/>
    </row>
    <row r="2842" spans="6:6" x14ac:dyDescent="0.3">
      <c r="F2842" s="190"/>
    </row>
    <row r="2843" spans="6:6" x14ac:dyDescent="0.3">
      <c r="F2843" s="190"/>
    </row>
    <row r="2844" spans="6:6" x14ac:dyDescent="0.3">
      <c r="F2844" s="190"/>
    </row>
    <row r="2845" spans="6:6" x14ac:dyDescent="0.3">
      <c r="F2845" s="190"/>
    </row>
    <row r="2846" spans="6:6" x14ac:dyDescent="0.3">
      <c r="F2846" s="190"/>
    </row>
    <row r="2847" spans="6:6" x14ac:dyDescent="0.3">
      <c r="F2847" s="190"/>
    </row>
    <row r="2848" spans="6:6" x14ac:dyDescent="0.3">
      <c r="F2848" s="190"/>
    </row>
    <row r="2849" spans="6:6" x14ac:dyDescent="0.3">
      <c r="F2849" s="190"/>
    </row>
    <row r="2850" spans="6:6" x14ac:dyDescent="0.3">
      <c r="F2850" s="190"/>
    </row>
    <row r="2851" spans="6:6" x14ac:dyDescent="0.3">
      <c r="F2851" s="190"/>
    </row>
    <row r="2852" spans="6:6" x14ac:dyDescent="0.3">
      <c r="F2852" s="190"/>
    </row>
    <row r="2853" spans="6:6" x14ac:dyDescent="0.3">
      <c r="F2853" s="190"/>
    </row>
    <row r="2854" spans="6:6" x14ac:dyDescent="0.3">
      <c r="F2854" s="190"/>
    </row>
    <row r="2855" spans="6:6" x14ac:dyDescent="0.3">
      <c r="F2855" s="190"/>
    </row>
    <row r="2856" spans="6:6" x14ac:dyDescent="0.3">
      <c r="F2856" s="190"/>
    </row>
    <row r="2857" spans="6:6" x14ac:dyDescent="0.3">
      <c r="F2857" s="190"/>
    </row>
    <row r="2858" spans="6:6" x14ac:dyDescent="0.3">
      <c r="F2858" s="190"/>
    </row>
    <row r="2859" spans="6:6" x14ac:dyDescent="0.3">
      <c r="F2859" s="190"/>
    </row>
    <row r="2860" spans="6:6" x14ac:dyDescent="0.3">
      <c r="F2860" s="190"/>
    </row>
    <row r="2861" spans="6:6" x14ac:dyDescent="0.3">
      <c r="F2861" s="190"/>
    </row>
    <row r="2862" spans="6:6" x14ac:dyDescent="0.3">
      <c r="F2862" s="190"/>
    </row>
    <row r="2863" spans="6:6" x14ac:dyDescent="0.3">
      <c r="F2863" s="190"/>
    </row>
    <row r="2864" spans="6:6" x14ac:dyDescent="0.3">
      <c r="F2864" s="190"/>
    </row>
    <row r="2865" spans="6:6" x14ac:dyDescent="0.3">
      <c r="F2865" s="190"/>
    </row>
    <row r="2866" spans="6:6" x14ac:dyDescent="0.3">
      <c r="F2866" s="190"/>
    </row>
    <row r="2867" spans="6:6" x14ac:dyDescent="0.3">
      <c r="F2867" s="190"/>
    </row>
    <row r="2868" spans="6:6" x14ac:dyDescent="0.3">
      <c r="F2868" s="190"/>
    </row>
    <row r="2869" spans="6:6" x14ac:dyDescent="0.3">
      <c r="F2869" s="190"/>
    </row>
    <row r="2870" spans="6:6" x14ac:dyDescent="0.3">
      <c r="F2870" s="190"/>
    </row>
    <row r="2871" spans="6:6" x14ac:dyDescent="0.3">
      <c r="F2871" s="190"/>
    </row>
    <row r="2872" spans="6:6" x14ac:dyDescent="0.3">
      <c r="F2872" s="190"/>
    </row>
    <row r="2873" spans="6:6" x14ac:dyDescent="0.3">
      <c r="F2873" s="190"/>
    </row>
    <row r="2874" spans="6:6" x14ac:dyDescent="0.3">
      <c r="F2874" s="190"/>
    </row>
    <row r="2875" spans="6:6" x14ac:dyDescent="0.3">
      <c r="F2875" s="190"/>
    </row>
    <row r="2876" spans="6:6" x14ac:dyDescent="0.3">
      <c r="F2876" s="190"/>
    </row>
    <row r="2877" spans="6:6" x14ac:dyDescent="0.3">
      <c r="F2877" s="190"/>
    </row>
    <row r="2878" spans="6:6" x14ac:dyDescent="0.3">
      <c r="F2878" s="190"/>
    </row>
    <row r="2879" spans="6:6" x14ac:dyDescent="0.3">
      <c r="F2879" s="190"/>
    </row>
    <row r="2880" spans="6:6" x14ac:dyDescent="0.3">
      <c r="F2880" s="190"/>
    </row>
    <row r="2881" spans="6:6" x14ac:dyDescent="0.3">
      <c r="F2881" s="190"/>
    </row>
    <row r="2882" spans="6:6" x14ac:dyDescent="0.3">
      <c r="F2882" s="190"/>
    </row>
    <row r="2883" spans="6:6" x14ac:dyDescent="0.3">
      <c r="F2883" s="190"/>
    </row>
    <row r="2884" spans="6:6" x14ac:dyDescent="0.3">
      <c r="F2884" s="190"/>
    </row>
    <row r="2885" spans="6:6" x14ac:dyDescent="0.3">
      <c r="F2885" s="190"/>
    </row>
    <row r="2886" spans="6:6" x14ac:dyDescent="0.3">
      <c r="F2886" s="190"/>
    </row>
    <row r="2887" spans="6:6" x14ac:dyDescent="0.3">
      <c r="F2887" s="190"/>
    </row>
    <row r="2888" spans="6:6" x14ac:dyDescent="0.3">
      <c r="F2888" s="190"/>
    </row>
    <row r="2889" spans="6:6" x14ac:dyDescent="0.3">
      <c r="F2889" s="190"/>
    </row>
    <row r="2890" spans="6:6" x14ac:dyDescent="0.3">
      <c r="F2890" s="190"/>
    </row>
    <row r="2891" spans="6:6" x14ac:dyDescent="0.3">
      <c r="F2891" s="190"/>
    </row>
    <row r="2892" spans="6:6" x14ac:dyDescent="0.3">
      <c r="F2892" s="190"/>
    </row>
    <row r="2893" spans="6:6" x14ac:dyDescent="0.3">
      <c r="F2893" s="190"/>
    </row>
    <row r="2894" spans="6:6" x14ac:dyDescent="0.3">
      <c r="F2894" s="190"/>
    </row>
    <row r="2895" spans="6:6" x14ac:dyDescent="0.3">
      <c r="F2895" s="190"/>
    </row>
    <row r="2896" spans="6:6" x14ac:dyDescent="0.3">
      <c r="F2896" s="190"/>
    </row>
    <row r="2897" spans="6:6" x14ac:dyDescent="0.3">
      <c r="F2897" s="190"/>
    </row>
    <row r="2898" spans="6:6" x14ac:dyDescent="0.3">
      <c r="F2898" s="190"/>
    </row>
    <row r="2899" spans="6:6" x14ac:dyDescent="0.3">
      <c r="F2899" s="190"/>
    </row>
    <row r="2900" spans="6:6" x14ac:dyDescent="0.3">
      <c r="F2900" s="190"/>
    </row>
    <row r="2901" spans="6:6" x14ac:dyDescent="0.3">
      <c r="F2901" s="190"/>
    </row>
    <row r="2902" spans="6:6" x14ac:dyDescent="0.3">
      <c r="F2902" s="190"/>
    </row>
    <row r="2903" spans="6:6" x14ac:dyDescent="0.3">
      <c r="F2903" s="190"/>
    </row>
    <row r="2904" spans="6:6" x14ac:dyDescent="0.3">
      <c r="F2904" s="190"/>
    </row>
    <row r="2905" spans="6:6" x14ac:dyDescent="0.3">
      <c r="F2905" s="190"/>
    </row>
    <row r="2906" spans="6:6" x14ac:dyDescent="0.3">
      <c r="F2906" s="190"/>
    </row>
    <row r="2907" spans="6:6" x14ac:dyDescent="0.3">
      <c r="F2907" s="190"/>
    </row>
    <row r="2908" spans="6:6" x14ac:dyDescent="0.3">
      <c r="F2908" s="190"/>
    </row>
    <row r="2909" spans="6:6" x14ac:dyDescent="0.3">
      <c r="F2909" s="190"/>
    </row>
    <row r="2910" spans="6:6" x14ac:dyDescent="0.3">
      <c r="F2910" s="190"/>
    </row>
    <row r="2911" spans="6:6" x14ac:dyDescent="0.3">
      <c r="F2911" s="190"/>
    </row>
    <row r="2912" spans="6:6" x14ac:dyDescent="0.3">
      <c r="F2912" s="190"/>
    </row>
    <row r="2913" spans="6:6" x14ac:dyDescent="0.3">
      <c r="F2913" s="190"/>
    </row>
    <row r="2914" spans="6:6" x14ac:dyDescent="0.3">
      <c r="F2914" s="190"/>
    </row>
    <row r="2915" spans="6:6" x14ac:dyDescent="0.3">
      <c r="F2915" s="190"/>
    </row>
    <row r="2916" spans="6:6" x14ac:dyDescent="0.3">
      <c r="F2916" s="190"/>
    </row>
    <row r="2917" spans="6:6" x14ac:dyDescent="0.3">
      <c r="F2917" s="190"/>
    </row>
    <row r="2918" spans="6:6" x14ac:dyDescent="0.3">
      <c r="F2918" s="190"/>
    </row>
    <row r="2919" spans="6:6" x14ac:dyDescent="0.3">
      <c r="F2919" s="190"/>
    </row>
    <row r="2920" spans="6:6" x14ac:dyDescent="0.3">
      <c r="F2920" s="190"/>
    </row>
    <row r="2921" spans="6:6" x14ac:dyDescent="0.3">
      <c r="F2921" s="190"/>
    </row>
    <row r="2922" spans="6:6" x14ac:dyDescent="0.3">
      <c r="F2922" s="190"/>
    </row>
    <row r="2923" spans="6:6" x14ac:dyDescent="0.3">
      <c r="F2923" s="190"/>
    </row>
    <row r="2924" spans="6:6" x14ac:dyDescent="0.3">
      <c r="F2924" s="190"/>
    </row>
    <row r="2925" spans="6:6" x14ac:dyDescent="0.3">
      <c r="F2925" s="190"/>
    </row>
    <row r="2926" spans="6:6" x14ac:dyDescent="0.3">
      <c r="F2926" s="190"/>
    </row>
    <row r="2927" spans="6:6" x14ac:dyDescent="0.3">
      <c r="F2927" s="190"/>
    </row>
    <row r="2928" spans="6:6" x14ac:dyDescent="0.3">
      <c r="F2928" s="190"/>
    </row>
    <row r="2929" spans="6:6" x14ac:dyDescent="0.3">
      <c r="F2929" s="190"/>
    </row>
    <row r="2930" spans="6:6" x14ac:dyDescent="0.3">
      <c r="F2930" s="190"/>
    </row>
    <row r="2931" spans="6:6" x14ac:dyDescent="0.3">
      <c r="F2931" s="190"/>
    </row>
    <row r="2932" spans="6:6" x14ac:dyDescent="0.3">
      <c r="F2932" s="190"/>
    </row>
    <row r="2933" spans="6:6" x14ac:dyDescent="0.3">
      <c r="F2933" s="190"/>
    </row>
    <row r="2934" spans="6:6" x14ac:dyDescent="0.3">
      <c r="F2934" s="190"/>
    </row>
    <row r="2935" spans="6:6" x14ac:dyDescent="0.3">
      <c r="F2935" s="190"/>
    </row>
    <row r="2936" spans="6:6" x14ac:dyDescent="0.3">
      <c r="F2936" s="190"/>
    </row>
    <row r="2937" spans="6:6" x14ac:dyDescent="0.3">
      <c r="F2937" s="190"/>
    </row>
    <row r="2938" spans="6:6" x14ac:dyDescent="0.3">
      <c r="F2938" s="190"/>
    </row>
    <row r="2939" spans="6:6" x14ac:dyDescent="0.3">
      <c r="F2939" s="190"/>
    </row>
    <row r="2940" spans="6:6" x14ac:dyDescent="0.3">
      <c r="F2940" s="190"/>
    </row>
    <row r="2941" spans="6:6" x14ac:dyDescent="0.3">
      <c r="F2941" s="190"/>
    </row>
    <row r="2942" spans="6:6" x14ac:dyDescent="0.3">
      <c r="F2942" s="190"/>
    </row>
    <row r="2943" spans="6:6" x14ac:dyDescent="0.3">
      <c r="F2943" s="190"/>
    </row>
    <row r="2944" spans="6:6" x14ac:dyDescent="0.3">
      <c r="F2944" s="190"/>
    </row>
    <row r="2945" spans="6:6" x14ac:dyDescent="0.3">
      <c r="F2945" s="190"/>
    </row>
    <row r="2946" spans="6:6" x14ac:dyDescent="0.3">
      <c r="F2946" s="190"/>
    </row>
    <row r="2947" spans="6:6" x14ac:dyDescent="0.3">
      <c r="F2947" s="190"/>
    </row>
    <row r="2948" spans="6:6" x14ac:dyDescent="0.3">
      <c r="F2948" s="190"/>
    </row>
    <row r="2949" spans="6:6" x14ac:dyDescent="0.3">
      <c r="F2949" s="190"/>
    </row>
    <row r="2950" spans="6:6" x14ac:dyDescent="0.3">
      <c r="F2950" s="190"/>
    </row>
    <row r="2951" spans="6:6" x14ac:dyDescent="0.3">
      <c r="F2951" s="190"/>
    </row>
    <row r="2952" spans="6:6" x14ac:dyDescent="0.3">
      <c r="F2952" s="190"/>
    </row>
    <row r="2953" spans="6:6" x14ac:dyDescent="0.3">
      <c r="F2953" s="190"/>
    </row>
    <row r="2954" spans="6:6" x14ac:dyDescent="0.3">
      <c r="F2954" s="190"/>
    </row>
    <row r="2955" spans="6:6" x14ac:dyDescent="0.3">
      <c r="F2955" s="190"/>
    </row>
    <row r="2956" spans="6:6" x14ac:dyDescent="0.3">
      <c r="F2956" s="190"/>
    </row>
    <row r="2957" spans="6:6" x14ac:dyDescent="0.3">
      <c r="F2957" s="190"/>
    </row>
    <row r="2958" spans="6:6" x14ac:dyDescent="0.3">
      <c r="F2958" s="190"/>
    </row>
    <row r="2959" spans="6:6" x14ac:dyDescent="0.3">
      <c r="F2959" s="190"/>
    </row>
    <row r="2960" spans="6:6" x14ac:dyDescent="0.3">
      <c r="F2960" s="190"/>
    </row>
    <row r="2961" spans="6:6" x14ac:dyDescent="0.3">
      <c r="F2961" s="190"/>
    </row>
    <row r="2962" spans="6:6" x14ac:dyDescent="0.3">
      <c r="F2962" s="190"/>
    </row>
    <row r="2963" spans="6:6" x14ac:dyDescent="0.3">
      <c r="F2963" s="190"/>
    </row>
    <row r="2964" spans="6:6" x14ac:dyDescent="0.3">
      <c r="F2964" s="190"/>
    </row>
    <row r="2965" spans="6:6" x14ac:dyDescent="0.3">
      <c r="F2965" s="190"/>
    </row>
    <row r="2966" spans="6:6" x14ac:dyDescent="0.3">
      <c r="F2966" s="190"/>
    </row>
    <row r="2967" spans="6:6" x14ac:dyDescent="0.3">
      <c r="F2967" s="190"/>
    </row>
    <row r="2968" spans="6:6" x14ac:dyDescent="0.3">
      <c r="F2968" s="190"/>
    </row>
    <row r="2969" spans="6:6" x14ac:dyDescent="0.3">
      <c r="F2969" s="190"/>
    </row>
    <row r="2970" spans="6:6" x14ac:dyDescent="0.3">
      <c r="F2970" s="190"/>
    </row>
    <row r="2971" spans="6:6" x14ac:dyDescent="0.3">
      <c r="F2971" s="190"/>
    </row>
    <row r="2972" spans="6:6" x14ac:dyDescent="0.3">
      <c r="F2972" s="190"/>
    </row>
    <row r="2973" spans="6:6" x14ac:dyDescent="0.3">
      <c r="F2973" s="190"/>
    </row>
    <row r="2974" spans="6:6" x14ac:dyDescent="0.3">
      <c r="F2974" s="190"/>
    </row>
    <row r="2975" spans="6:6" x14ac:dyDescent="0.3">
      <c r="F2975" s="190"/>
    </row>
    <row r="2976" spans="6:6" x14ac:dyDescent="0.3">
      <c r="F2976" s="190"/>
    </row>
    <row r="2977" spans="6:6" x14ac:dyDescent="0.3">
      <c r="F2977" s="190"/>
    </row>
    <row r="2978" spans="6:6" x14ac:dyDescent="0.3">
      <c r="F2978" s="190"/>
    </row>
    <row r="2979" spans="6:6" x14ac:dyDescent="0.3">
      <c r="F2979" s="190"/>
    </row>
    <row r="2980" spans="6:6" x14ac:dyDescent="0.3">
      <c r="F2980" s="190"/>
    </row>
    <row r="2981" spans="6:6" x14ac:dyDescent="0.3">
      <c r="F2981" s="190"/>
    </row>
    <row r="2982" spans="6:6" x14ac:dyDescent="0.3">
      <c r="F2982" s="190"/>
    </row>
    <row r="2983" spans="6:6" x14ac:dyDescent="0.3">
      <c r="F2983" s="190"/>
    </row>
    <row r="2984" spans="6:6" x14ac:dyDescent="0.3">
      <c r="F2984" s="190"/>
    </row>
    <row r="2985" spans="6:6" x14ac:dyDescent="0.3">
      <c r="F2985" s="190"/>
    </row>
    <row r="2986" spans="6:6" x14ac:dyDescent="0.3">
      <c r="F2986" s="190"/>
    </row>
    <row r="2987" spans="6:6" x14ac:dyDescent="0.3">
      <c r="F2987" s="190"/>
    </row>
    <row r="2988" spans="6:6" x14ac:dyDescent="0.3">
      <c r="F2988" s="190"/>
    </row>
    <row r="2989" spans="6:6" x14ac:dyDescent="0.3">
      <c r="F2989" s="190"/>
    </row>
    <row r="2990" spans="6:6" x14ac:dyDescent="0.3">
      <c r="F2990" s="190"/>
    </row>
    <row r="2991" spans="6:6" x14ac:dyDescent="0.3">
      <c r="F2991" s="190"/>
    </row>
    <row r="2992" spans="6:6" x14ac:dyDescent="0.3">
      <c r="F2992" s="190"/>
    </row>
    <row r="2993" spans="6:6" x14ac:dyDescent="0.3">
      <c r="F2993" s="190"/>
    </row>
    <row r="2994" spans="6:6" x14ac:dyDescent="0.3">
      <c r="F2994" s="190"/>
    </row>
    <row r="2995" spans="6:6" x14ac:dyDescent="0.3">
      <c r="F2995" s="190"/>
    </row>
    <row r="2996" spans="6:6" x14ac:dyDescent="0.3">
      <c r="F2996" s="190"/>
    </row>
    <row r="2997" spans="6:6" x14ac:dyDescent="0.3">
      <c r="F2997" s="190"/>
    </row>
    <row r="2998" spans="6:6" x14ac:dyDescent="0.3">
      <c r="F2998" s="190"/>
    </row>
    <row r="2999" spans="6:6" x14ac:dyDescent="0.3">
      <c r="F2999" s="190"/>
    </row>
    <row r="3000" spans="6:6" x14ac:dyDescent="0.3">
      <c r="F3000" s="190"/>
    </row>
    <row r="3001" spans="6:6" x14ac:dyDescent="0.3">
      <c r="F3001" s="190"/>
    </row>
    <row r="3002" spans="6:6" x14ac:dyDescent="0.3">
      <c r="F3002" s="190"/>
    </row>
    <row r="3003" spans="6:6" x14ac:dyDescent="0.3">
      <c r="F3003" s="190"/>
    </row>
    <row r="3004" spans="6:6" x14ac:dyDescent="0.3">
      <c r="F3004" s="190"/>
    </row>
    <row r="3005" spans="6:6" x14ac:dyDescent="0.3">
      <c r="F3005" s="190"/>
    </row>
    <row r="3006" spans="6:6" x14ac:dyDescent="0.3">
      <c r="F3006" s="190"/>
    </row>
    <row r="3007" spans="6:6" x14ac:dyDescent="0.3">
      <c r="F3007" s="190"/>
    </row>
    <row r="3008" spans="6:6" x14ac:dyDescent="0.3">
      <c r="F3008" s="190"/>
    </row>
    <row r="3009" spans="6:6" x14ac:dyDescent="0.3">
      <c r="F3009" s="190"/>
    </row>
    <row r="3010" spans="6:6" x14ac:dyDescent="0.3">
      <c r="F3010" s="190"/>
    </row>
    <row r="3011" spans="6:6" x14ac:dyDescent="0.3">
      <c r="F3011" s="190"/>
    </row>
    <row r="3012" spans="6:6" x14ac:dyDescent="0.3">
      <c r="F3012" s="190"/>
    </row>
    <row r="3013" spans="6:6" x14ac:dyDescent="0.3">
      <c r="F3013" s="190"/>
    </row>
    <row r="3014" spans="6:6" x14ac:dyDescent="0.3">
      <c r="F3014" s="190"/>
    </row>
    <row r="3015" spans="6:6" x14ac:dyDescent="0.3">
      <c r="F3015" s="190"/>
    </row>
    <row r="3016" spans="6:6" x14ac:dyDescent="0.3">
      <c r="F3016" s="190"/>
    </row>
    <row r="3017" spans="6:6" x14ac:dyDescent="0.3">
      <c r="F3017" s="190"/>
    </row>
    <row r="3018" spans="6:6" x14ac:dyDescent="0.3">
      <c r="F3018" s="190"/>
    </row>
    <row r="3019" spans="6:6" x14ac:dyDescent="0.3">
      <c r="F3019" s="190"/>
    </row>
    <row r="3020" spans="6:6" x14ac:dyDescent="0.3">
      <c r="F3020" s="190"/>
    </row>
    <row r="3021" spans="6:6" x14ac:dyDescent="0.3">
      <c r="F3021" s="190"/>
    </row>
    <row r="3022" spans="6:6" x14ac:dyDescent="0.3">
      <c r="F3022" s="190"/>
    </row>
    <row r="3023" spans="6:6" x14ac:dyDescent="0.3">
      <c r="F3023" s="190"/>
    </row>
    <row r="3024" spans="6:6" x14ac:dyDescent="0.3">
      <c r="F3024" s="190"/>
    </row>
    <row r="3025" spans="6:6" x14ac:dyDescent="0.3">
      <c r="F3025" s="190"/>
    </row>
    <row r="3026" spans="6:6" x14ac:dyDescent="0.3">
      <c r="F3026" s="190"/>
    </row>
    <row r="3027" spans="6:6" x14ac:dyDescent="0.3">
      <c r="F3027" s="190"/>
    </row>
    <row r="3028" spans="6:6" x14ac:dyDescent="0.3">
      <c r="F3028" s="190"/>
    </row>
    <row r="3029" spans="6:6" x14ac:dyDescent="0.3">
      <c r="F3029" s="190"/>
    </row>
    <row r="3030" spans="6:6" x14ac:dyDescent="0.3">
      <c r="F3030" s="190"/>
    </row>
    <row r="3031" spans="6:6" x14ac:dyDescent="0.3">
      <c r="F3031" s="190"/>
    </row>
    <row r="3032" spans="6:6" x14ac:dyDescent="0.3">
      <c r="F3032" s="190"/>
    </row>
    <row r="3033" spans="6:6" x14ac:dyDescent="0.3">
      <c r="F3033" s="190"/>
    </row>
    <row r="3034" spans="6:6" x14ac:dyDescent="0.3">
      <c r="F3034" s="190"/>
    </row>
    <row r="3035" spans="6:6" x14ac:dyDescent="0.3">
      <c r="F3035" s="190"/>
    </row>
    <row r="3036" spans="6:6" x14ac:dyDescent="0.3">
      <c r="F3036" s="190"/>
    </row>
    <row r="3037" spans="6:6" x14ac:dyDescent="0.3">
      <c r="F3037" s="190"/>
    </row>
    <row r="3038" spans="6:6" x14ac:dyDescent="0.3">
      <c r="F3038" s="190"/>
    </row>
    <row r="3039" spans="6:6" x14ac:dyDescent="0.3">
      <c r="F3039" s="190"/>
    </row>
    <row r="3040" spans="6:6" x14ac:dyDescent="0.3">
      <c r="F3040" s="190"/>
    </row>
    <row r="3041" spans="6:6" x14ac:dyDescent="0.3">
      <c r="F3041" s="190"/>
    </row>
    <row r="3042" spans="6:6" x14ac:dyDescent="0.3">
      <c r="F3042" s="190"/>
    </row>
    <row r="3043" spans="6:6" x14ac:dyDescent="0.3">
      <c r="F3043" s="190"/>
    </row>
    <row r="3044" spans="6:6" x14ac:dyDescent="0.3">
      <c r="F3044" s="190"/>
    </row>
    <row r="3045" spans="6:6" x14ac:dyDescent="0.3">
      <c r="F3045" s="190"/>
    </row>
    <row r="3046" spans="6:6" x14ac:dyDescent="0.3">
      <c r="F3046" s="190"/>
    </row>
    <row r="3047" spans="6:6" x14ac:dyDescent="0.3">
      <c r="F3047" s="190"/>
    </row>
    <row r="3048" spans="6:6" x14ac:dyDescent="0.3">
      <c r="F3048" s="190"/>
    </row>
    <row r="3049" spans="6:6" x14ac:dyDescent="0.3">
      <c r="F3049" s="190"/>
    </row>
    <row r="3050" spans="6:6" x14ac:dyDescent="0.3">
      <c r="F3050" s="190"/>
    </row>
    <row r="3051" spans="6:6" x14ac:dyDescent="0.3">
      <c r="F3051" s="190"/>
    </row>
    <row r="3052" spans="6:6" x14ac:dyDescent="0.3">
      <c r="F3052" s="190"/>
    </row>
    <row r="3053" spans="6:6" x14ac:dyDescent="0.3">
      <c r="F3053" s="190"/>
    </row>
    <row r="3054" spans="6:6" x14ac:dyDescent="0.3">
      <c r="F3054" s="190"/>
    </row>
    <row r="3055" spans="6:6" x14ac:dyDescent="0.3">
      <c r="F3055" s="190"/>
    </row>
    <row r="3056" spans="6:6" x14ac:dyDescent="0.3">
      <c r="F3056" s="190"/>
    </row>
    <row r="3057" spans="6:6" x14ac:dyDescent="0.3">
      <c r="F3057" s="190"/>
    </row>
    <row r="3058" spans="6:6" x14ac:dyDescent="0.3">
      <c r="F3058" s="190"/>
    </row>
    <row r="3059" spans="6:6" x14ac:dyDescent="0.3">
      <c r="F3059" s="190"/>
    </row>
    <row r="3060" spans="6:6" x14ac:dyDescent="0.3">
      <c r="F3060" s="190"/>
    </row>
    <row r="3061" spans="6:6" x14ac:dyDescent="0.3">
      <c r="F3061" s="190"/>
    </row>
    <row r="3062" spans="6:6" x14ac:dyDescent="0.3">
      <c r="F3062" s="190"/>
    </row>
    <row r="3063" spans="6:6" x14ac:dyDescent="0.3">
      <c r="F3063" s="190"/>
    </row>
    <row r="3064" spans="6:6" x14ac:dyDescent="0.3">
      <c r="F3064" s="190"/>
    </row>
    <row r="3065" spans="6:6" x14ac:dyDescent="0.3">
      <c r="F3065" s="190"/>
    </row>
    <row r="3066" spans="6:6" x14ac:dyDescent="0.3">
      <c r="F3066" s="190"/>
    </row>
    <row r="3067" spans="6:6" x14ac:dyDescent="0.3">
      <c r="F3067" s="190"/>
    </row>
    <row r="3068" spans="6:6" x14ac:dyDescent="0.3">
      <c r="F3068" s="190"/>
    </row>
    <row r="3069" spans="6:6" x14ac:dyDescent="0.3">
      <c r="F3069" s="190"/>
    </row>
    <row r="3070" spans="6:6" x14ac:dyDescent="0.3">
      <c r="F3070" s="190"/>
    </row>
    <row r="3071" spans="6:6" x14ac:dyDescent="0.3">
      <c r="F3071" s="190"/>
    </row>
    <row r="3072" spans="6:6" x14ac:dyDescent="0.3">
      <c r="F3072" s="190"/>
    </row>
    <row r="3073" spans="6:6" x14ac:dyDescent="0.3">
      <c r="F3073" s="190"/>
    </row>
    <row r="3074" spans="6:6" x14ac:dyDescent="0.3">
      <c r="F3074" s="190"/>
    </row>
    <row r="3075" spans="6:6" x14ac:dyDescent="0.3">
      <c r="F3075" s="190"/>
    </row>
    <row r="3076" spans="6:6" x14ac:dyDescent="0.3">
      <c r="F3076" s="190"/>
    </row>
    <row r="3077" spans="6:6" x14ac:dyDescent="0.3">
      <c r="F3077" s="190"/>
    </row>
    <row r="3078" spans="6:6" x14ac:dyDescent="0.3">
      <c r="F3078" s="190"/>
    </row>
    <row r="3079" spans="6:6" x14ac:dyDescent="0.3">
      <c r="F3079" s="190"/>
    </row>
    <row r="3080" spans="6:6" x14ac:dyDescent="0.3">
      <c r="F3080" s="190"/>
    </row>
    <row r="3081" spans="6:6" x14ac:dyDescent="0.3">
      <c r="F3081" s="190"/>
    </row>
    <row r="3082" spans="6:6" x14ac:dyDescent="0.3">
      <c r="F3082" s="190"/>
    </row>
    <row r="3083" spans="6:6" x14ac:dyDescent="0.3">
      <c r="F3083" s="190"/>
    </row>
    <row r="3084" spans="6:6" x14ac:dyDescent="0.3">
      <c r="F3084" s="190"/>
    </row>
    <row r="3085" spans="6:6" x14ac:dyDescent="0.3">
      <c r="F3085" s="190"/>
    </row>
    <row r="3086" spans="6:6" x14ac:dyDescent="0.3">
      <c r="F3086" s="190"/>
    </row>
    <row r="3087" spans="6:6" x14ac:dyDescent="0.3">
      <c r="F3087" s="190"/>
    </row>
    <row r="3088" spans="6:6" x14ac:dyDescent="0.3">
      <c r="F3088" s="190"/>
    </row>
    <row r="3089" spans="6:6" x14ac:dyDescent="0.3">
      <c r="F3089" s="190"/>
    </row>
    <row r="3090" spans="6:6" x14ac:dyDescent="0.3">
      <c r="F3090" s="190"/>
    </row>
    <row r="3091" spans="6:6" x14ac:dyDescent="0.3">
      <c r="F3091" s="190"/>
    </row>
    <row r="3092" spans="6:6" x14ac:dyDescent="0.3">
      <c r="F3092" s="190"/>
    </row>
    <row r="3093" spans="6:6" x14ac:dyDescent="0.3">
      <c r="F3093" s="190"/>
    </row>
    <row r="3094" spans="6:6" x14ac:dyDescent="0.3">
      <c r="F3094" s="190"/>
    </row>
    <row r="3095" spans="6:6" x14ac:dyDescent="0.3">
      <c r="F3095" s="190"/>
    </row>
    <row r="3096" spans="6:6" x14ac:dyDescent="0.3">
      <c r="F3096" s="190"/>
    </row>
    <row r="3097" spans="6:6" x14ac:dyDescent="0.3">
      <c r="F3097" s="190"/>
    </row>
    <row r="3098" spans="6:6" x14ac:dyDescent="0.3">
      <c r="F3098" s="190"/>
    </row>
    <row r="3099" spans="6:6" x14ac:dyDescent="0.3">
      <c r="F3099" s="190"/>
    </row>
    <row r="3100" spans="6:6" x14ac:dyDescent="0.3">
      <c r="F3100" s="190"/>
    </row>
    <row r="3101" spans="6:6" x14ac:dyDescent="0.3">
      <c r="F3101" s="190"/>
    </row>
    <row r="3102" spans="6:6" x14ac:dyDescent="0.3">
      <c r="F3102" s="190"/>
    </row>
    <row r="3103" spans="6:6" x14ac:dyDescent="0.3">
      <c r="F3103" s="190"/>
    </row>
    <row r="3104" spans="6:6" x14ac:dyDescent="0.3">
      <c r="F3104" s="190"/>
    </row>
    <row r="3105" spans="6:6" x14ac:dyDescent="0.3">
      <c r="F3105" s="190"/>
    </row>
    <row r="3106" spans="6:6" x14ac:dyDescent="0.3">
      <c r="F3106" s="190"/>
    </row>
    <row r="3107" spans="6:6" x14ac:dyDescent="0.3">
      <c r="F3107" s="190"/>
    </row>
    <row r="3108" spans="6:6" x14ac:dyDescent="0.3">
      <c r="F3108" s="190"/>
    </row>
    <row r="3109" spans="6:6" x14ac:dyDescent="0.3">
      <c r="F3109" s="190"/>
    </row>
    <row r="3110" spans="6:6" x14ac:dyDescent="0.3">
      <c r="F3110" s="190"/>
    </row>
    <row r="3111" spans="6:6" x14ac:dyDescent="0.3">
      <c r="F3111" s="190"/>
    </row>
    <row r="3112" spans="6:6" x14ac:dyDescent="0.3">
      <c r="F3112" s="190"/>
    </row>
    <row r="3113" spans="6:6" x14ac:dyDescent="0.3">
      <c r="F3113" s="190"/>
    </row>
    <row r="3114" spans="6:6" x14ac:dyDescent="0.3">
      <c r="F3114" s="190"/>
    </row>
    <row r="3115" spans="6:6" x14ac:dyDescent="0.3">
      <c r="F3115" s="190"/>
    </row>
    <row r="3116" spans="6:6" x14ac:dyDescent="0.3">
      <c r="F3116" s="190"/>
    </row>
    <row r="3117" spans="6:6" x14ac:dyDescent="0.3">
      <c r="F3117" s="190"/>
    </row>
    <row r="3118" spans="6:6" x14ac:dyDescent="0.3">
      <c r="F3118" s="190"/>
    </row>
    <row r="3119" spans="6:6" x14ac:dyDescent="0.3">
      <c r="F3119" s="190"/>
    </row>
    <row r="3120" spans="6:6" x14ac:dyDescent="0.3">
      <c r="F3120" s="190"/>
    </row>
    <row r="3121" spans="6:6" x14ac:dyDescent="0.3">
      <c r="F3121" s="190"/>
    </row>
    <row r="3122" spans="6:6" x14ac:dyDescent="0.3">
      <c r="F3122" s="190"/>
    </row>
    <row r="3123" spans="6:6" x14ac:dyDescent="0.3">
      <c r="F3123" s="190"/>
    </row>
    <row r="3124" spans="6:6" x14ac:dyDescent="0.3">
      <c r="F3124" s="190"/>
    </row>
    <row r="3125" spans="6:6" x14ac:dyDescent="0.3">
      <c r="F3125" s="190"/>
    </row>
    <row r="3126" spans="6:6" x14ac:dyDescent="0.3">
      <c r="F3126" s="190"/>
    </row>
    <row r="3127" spans="6:6" x14ac:dyDescent="0.3">
      <c r="F3127" s="190"/>
    </row>
    <row r="3128" spans="6:6" x14ac:dyDescent="0.3">
      <c r="F3128" s="190"/>
    </row>
    <row r="3129" spans="6:6" x14ac:dyDescent="0.3">
      <c r="F3129" s="190"/>
    </row>
    <row r="3130" spans="6:6" x14ac:dyDescent="0.3">
      <c r="F3130" s="190"/>
    </row>
    <row r="3131" spans="6:6" x14ac:dyDescent="0.3">
      <c r="F3131" s="190"/>
    </row>
    <row r="3132" spans="6:6" x14ac:dyDescent="0.3">
      <c r="F3132" s="190"/>
    </row>
    <row r="3133" spans="6:6" x14ac:dyDescent="0.3">
      <c r="F3133" s="190"/>
    </row>
    <row r="3134" spans="6:6" x14ac:dyDescent="0.3">
      <c r="F3134" s="190"/>
    </row>
    <row r="3135" spans="6:6" x14ac:dyDescent="0.3">
      <c r="F3135" s="190"/>
    </row>
    <row r="3136" spans="6:6" x14ac:dyDescent="0.3">
      <c r="F3136" s="190"/>
    </row>
    <row r="3137" spans="6:6" x14ac:dyDescent="0.3">
      <c r="F3137" s="190"/>
    </row>
    <row r="3138" spans="6:6" x14ac:dyDescent="0.3">
      <c r="F3138" s="190"/>
    </row>
    <row r="3139" spans="6:6" x14ac:dyDescent="0.3">
      <c r="F3139" s="190"/>
    </row>
    <row r="3140" spans="6:6" x14ac:dyDescent="0.3">
      <c r="F3140" s="190"/>
    </row>
    <row r="3141" spans="6:6" x14ac:dyDescent="0.3">
      <c r="F3141" s="190"/>
    </row>
    <row r="3142" spans="6:6" x14ac:dyDescent="0.3">
      <c r="F3142" s="190"/>
    </row>
    <row r="3143" spans="6:6" x14ac:dyDescent="0.3">
      <c r="F3143" s="190"/>
    </row>
    <row r="3144" spans="6:6" x14ac:dyDescent="0.3">
      <c r="F3144" s="190"/>
    </row>
    <row r="3145" spans="6:6" x14ac:dyDescent="0.3">
      <c r="F3145" s="190"/>
    </row>
    <row r="3146" spans="6:6" x14ac:dyDescent="0.3">
      <c r="F3146" s="190"/>
    </row>
    <row r="3147" spans="6:6" x14ac:dyDescent="0.3">
      <c r="F3147" s="190"/>
    </row>
    <row r="3148" spans="6:6" x14ac:dyDescent="0.3">
      <c r="F3148" s="190"/>
    </row>
    <row r="3149" spans="6:6" x14ac:dyDescent="0.3">
      <c r="F3149" s="190"/>
    </row>
    <row r="3150" spans="6:6" x14ac:dyDescent="0.3">
      <c r="F3150" s="190"/>
    </row>
    <row r="3151" spans="6:6" x14ac:dyDescent="0.3">
      <c r="F3151" s="190"/>
    </row>
    <row r="3152" spans="6:6" x14ac:dyDescent="0.3">
      <c r="F3152" s="190"/>
    </row>
    <row r="3153" spans="6:6" x14ac:dyDescent="0.3">
      <c r="F3153" s="190"/>
    </row>
    <row r="3154" spans="6:6" x14ac:dyDescent="0.3">
      <c r="F3154" s="190"/>
    </row>
    <row r="3155" spans="6:6" x14ac:dyDescent="0.3">
      <c r="F3155" s="190"/>
    </row>
    <row r="3156" spans="6:6" x14ac:dyDescent="0.3">
      <c r="F3156" s="190"/>
    </row>
    <row r="3157" spans="6:6" x14ac:dyDescent="0.3">
      <c r="F3157" s="190"/>
    </row>
    <row r="3158" spans="6:6" x14ac:dyDescent="0.3">
      <c r="F3158" s="190"/>
    </row>
    <row r="3159" spans="6:6" x14ac:dyDescent="0.3">
      <c r="F3159" s="190"/>
    </row>
    <row r="3160" spans="6:6" x14ac:dyDescent="0.3">
      <c r="F3160" s="190"/>
    </row>
    <row r="3161" spans="6:6" x14ac:dyDescent="0.3">
      <c r="F3161" s="190"/>
    </row>
    <row r="3162" spans="6:6" x14ac:dyDescent="0.3">
      <c r="F3162" s="190"/>
    </row>
    <row r="3163" spans="6:6" x14ac:dyDescent="0.3">
      <c r="F3163" s="190"/>
    </row>
    <row r="3164" spans="6:6" x14ac:dyDescent="0.3">
      <c r="F3164" s="190"/>
    </row>
    <row r="3165" spans="6:6" x14ac:dyDescent="0.3">
      <c r="F3165" s="190"/>
    </row>
    <row r="3166" spans="6:6" x14ac:dyDescent="0.3">
      <c r="F3166" s="190"/>
    </row>
    <row r="3167" spans="6:6" x14ac:dyDescent="0.3">
      <c r="F3167" s="190"/>
    </row>
    <row r="3168" spans="6:6" x14ac:dyDescent="0.3">
      <c r="F3168" s="190"/>
    </row>
    <row r="3169" spans="6:6" x14ac:dyDescent="0.3">
      <c r="F3169" s="190"/>
    </row>
    <row r="3170" spans="6:6" x14ac:dyDescent="0.3">
      <c r="F3170" s="190"/>
    </row>
    <row r="3171" spans="6:6" x14ac:dyDescent="0.3">
      <c r="F3171" s="190"/>
    </row>
    <row r="3172" spans="6:6" x14ac:dyDescent="0.3">
      <c r="F3172" s="190"/>
    </row>
    <row r="3173" spans="6:6" x14ac:dyDescent="0.3">
      <c r="F3173" s="190"/>
    </row>
    <row r="3174" spans="6:6" x14ac:dyDescent="0.3">
      <c r="F3174" s="190"/>
    </row>
    <row r="3175" spans="6:6" x14ac:dyDescent="0.3">
      <c r="F3175" s="190"/>
    </row>
    <row r="3176" spans="6:6" x14ac:dyDescent="0.3">
      <c r="F3176" s="190"/>
    </row>
    <row r="3177" spans="6:6" x14ac:dyDescent="0.3">
      <c r="F3177" s="190"/>
    </row>
    <row r="3178" spans="6:6" x14ac:dyDescent="0.3">
      <c r="F3178" s="190"/>
    </row>
    <row r="3179" spans="6:6" x14ac:dyDescent="0.3">
      <c r="F3179" s="190"/>
    </row>
    <row r="3180" spans="6:6" x14ac:dyDescent="0.3">
      <c r="F3180" s="190"/>
    </row>
    <row r="3181" spans="6:6" x14ac:dyDescent="0.3">
      <c r="F3181" s="190"/>
    </row>
    <row r="3182" spans="6:6" x14ac:dyDescent="0.3">
      <c r="F3182" s="190"/>
    </row>
    <row r="3183" spans="6:6" x14ac:dyDescent="0.3">
      <c r="F3183" s="190"/>
    </row>
    <row r="3184" spans="6:6" x14ac:dyDescent="0.3">
      <c r="F3184" s="190"/>
    </row>
    <row r="3185" spans="6:6" x14ac:dyDescent="0.3">
      <c r="F3185" s="190"/>
    </row>
    <row r="3186" spans="6:6" x14ac:dyDescent="0.3">
      <c r="F3186" s="190"/>
    </row>
    <row r="3187" spans="6:6" x14ac:dyDescent="0.3">
      <c r="F3187" s="190"/>
    </row>
    <row r="3188" spans="6:6" x14ac:dyDescent="0.3">
      <c r="F3188" s="190"/>
    </row>
    <row r="3189" spans="6:6" x14ac:dyDescent="0.3">
      <c r="F3189" s="190"/>
    </row>
    <row r="3190" spans="6:6" x14ac:dyDescent="0.3">
      <c r="F3190" s="190"/>
    </row>
    <row r="3191" spans="6:6" x14ac:dyDescent="0.3">
      <c r="F3191" s="190"/>
    </row>
    <row r="3192" spans="6:6" x14ac:dyDescent="0.3">
      <c r="F3192" s="190"/>
    </row>
    <row r="3193" spans="6:6" x14ac:dyDescent="0.3">
      <c r="F3193" s="190"/>
    </row>
    <row r="3194" spans="6:6" x14ac:dyDescent="0.3">
      <c r="F3194" s="190"/>
    </row>
    <row r="3195" spans="6:6" x14ac:dyDescent="0.3">
      <c r="F3195" s="190"/>
    </row>
    <row r="3196" spans="6:6" x14ac:dyDescent="0.3">
      <c r="F3196" s="190"/>
    </row>
    <row r="3197" spans="6:6" x14ac:dyDescent="0.3">
      <c r="F3197" s="190"/>
    </row>
    <row r="3198" spans="6:6" x14ac:dyDescent="0.3">
      <c r="F3198" s="190"/>
    </row>
    <row r="3199" spans="6:6" x14ac:dyDescent="0.3">
      <c r="F3199" s="190"/>
    </row>
    <row r="3200" spans="6:6" x14ac:dyDescent="0.3">
      <c r="F3200" s="190"/>
    </row>
    <row r="3201" spans="6:6" x14ac:dyDescent="0.3">
      <c r="F3201" s="190"/>
    </row>
    <row r="3202" spans="6:6" x14ac:dyDescent="0.3">
      <c r="F3202" s="190"/>
    </row>
    <row r="3203" spans="6:6" x14ac:dyDescent="0.3">
      <c r="F3203" s="190"/>
    </row>
    <row r="3204" spans="6:6" x14ac:dyDescent="0.3">
      <c r="F3204" s="190"/>
    </row>
    <row r="3205" spans="6:6" x14ac:dyDescent="0.3">
      <c r="F3205" s="190"/>
    </row>
    <row r="3206" spans="6:6" x14ac:dyDescent="0.3">
      <c r="F3206" s="190"/>
    </row>
    <row r="3207" spans="6:6" x14ac:dyDescent="0.3">
      <c r="F3207" s="190"/>
    </row>
    <row r="3208" spans="6:6" x14ac:dyDescent="0.3">
      <c r="F3208" s="190"/>
    </row>
    <row r="3209" spans="6:6" x14ac:dyDescent="0.3">
      <c r="F3209" s="190"/>
    </row>
    <row r="3210" spans="6:6" x14ac:dyDescent="0.3">
      <c r="F3210" s="190"/>
    </row>
    <row r="3211" spans="6:6" x14ac:dyDescent="0.3">
      <c r="F3211" s="190"/>
    </row>
    <row r="3212" spans="6:6" x14ac:dyDescent="0.3">
      <c r="F3212" s="190"/>
    </row>
    <row r="3213" spans="6:6" x14ac:dyDescent="0.3">
      <c r="F3213" s="190"/>
    </row>
    <row r="3214" spans="6:6" x14ac:dyDescent="0.3">
      <c r="F3214" s="190"/>
    </row>
    <row r="3215" spans="6:6" x14ac:dyDescent="0.3">
      <c r="F3215" s="190"/>
    </row>
    <row r="3216" spans="6:6" x14ac:dyDescent="0.3">
      <c r="F3216" s="190"/>
    </row>
    <row r="3217" spans="6:6" x14ac:dyDescent="0.3">
      <c r="F3217" s="190"/>
    </row>
    <row r="3218" spans="6:6" x14ac:dyDescent="0.3">
      <c r="F3218" s="190"/>
    </row>
    <row r="3219" spans="6:6" x14ac:dyDescent="0.3">
      <c r="F3219" s="190"/>
    </row>
    <row r="3220" spans="6:6" x14ac:dyDescent="0.3">
      <c r="F3220" s="190"/>
    </row>
    <row r="3221" spans="6:6" x14ac:dyDescent="0.3">
      <c r="F3221" s="190"/>
    </row>
    <row r="3222" spans="6:6" x14ac:dyDescent="0.3">
      <c r="F3222" s="190"/>
    </row>
    <row r="3223" spans="6:6" x14ac:dyDescent="0.3">
      <c r="F3223" s="190"/>
    </row>
    <row r="3224" spans="6:6" x14ac:dyDescent="0.3">
      <c r="F3224" s="190"/>
    </row>
    <row r="3225" spans="6:6" x14ac:dyDescent="0.3">
      <c r="F3225" s="190"/>
    </row>
    <row r="3226" spans="6:6" x14ac:dyDescent="0.3">
      <c r="F3226" s="190"/>
    </row>
    <row r="3227" spans="6:6" x14ac:dyDescent="0.3">
      <c r="F3227" s="190"/>
    </row>
    <row r="3228" spans="6:6" x14ac:dyDescent="0.3">
      <c r="F3228" s="190"/>
    </row>
    <row r="3229" spans="6:6" x14ac:dyDescent="0.3">
      <c r="F3229" s="190"/>
    </row>
    <row r="3230" spans="6:6" x14ac:dyDescent="0.3">
      <c r="F3230" s="190"/>
    </row>
    <row r="3231" spans="6:6" x14ac:dyDescent="0.3">
      <c r="F3231" s="190"/>
    </row>
    <row r="3232" spans="6:6" x14ac:dyDescent="0.3">
      <c r="F3232" s="190"/>
    </row>
    <row r="3233" spans="6:6" x14ac:dyDescent="0.3">
      <c r="F3233" s="190"/>
    </row>
    <row r="3234" spans="6:6" x14ac:dyDescent="0.3">
      <c r="F3234" s="190"/>
    </row>
    <row r="3235" spans="6:6" x14ac:dyDescent="0.3">
      <c r="F3235" s="190"/>
    </row>
    <row r="3236" spans="6:6" x14ac:dyDescent="0.3">
      <c r="F3236" s="190"/>
    </row>
    <row r="3237" spans="6:6" x14ac:dyDescent="0.3">
      <c r="F3237" s="190"/>
    </row>
    <row r="3238" spans="6:6" x14ac:dyDescent="0.3">
      <c r="F3238" s="190"/>
    </row>
    <row r="3239" spans="6:6" x14ac:dyDescent="0.3">
      <c r="F3239" s="190"/>
    </row>
    <row r="3240" spans="6:6" x14ac:dyDescent="0.3">
      <c r="F3240" s="190"/>
    </row>
    <row r="3241" spans="6:6" x14ac:dyDescent="0.3">
      <c r="F3241" s="190"/>
    </row>
    <row r="3242" spans="6:6" x14ac:dyDescent="0.3">
      <c r="F3242" s="190"/>
    </row>
    <row r="3243" spans="6:6" x14ac:dyDescent="0.3">
      <c r="F3243" s="190"/>
    </row>
    <row r="3244" spans="6:6" x14ac:dyDescent="0.3">
      <c r="F3244" s="190"/>
    </row>
    <row r="3245" spans="6:6" x14ac:dyDescent="0.3">
      <c r="F3245" s="190"/>
    </row>
    <row r="3246" spans="6:6" x14ac:dyDescent="0.3">
      <c r="F3246" s="190"/>
    </row>
    <row r="3247" spans="6:6" x14ac:dyDescent="0.3">
      <c r="F3247" s="190"/>
    </row>
    <row r="3248" spans="6:6" x14ac:dyDescent="0.3">
      <c r="F3248" s="190"/>
    </row>
    <row r="3249" spans="6:6" x14ac:dyDescent="0.3">
      <c r="F3249" s="190"/>
    </row>
    <row r="3250" spans="6:6" x14ac:dyDescent="0.3">
      <c r="F3250" s="190"/>
    </row>
    <row r="3251" spans="6:6" x14ac:dyDescent="0.3">
      <c r="F3251" s="190"/>
    </row>
    <row r="3252" spans="6:6" x14ac:dyDescent="0.3">
      <c r="F3252" s="190"/>
    </row>
    <row r="3253" spans="6:6" x14ac:dyDescent="0.3">
      <c r="F3253" s="190"/>
    </row>
    <row r="3254" spans="6:6" x14ac:dyDescent="0.3">
      <c r="F3254" s="190"/>
    </row>
    <row r="3255" spans="6:6" x14ac:dyDescent="0.3">
      <c r="F3255" s="190"/>
    </row>
    <row r="3256" spans="6:6" x14ac:dyDescent="0.3">
      <c r="F3256" s="190"/>
    </row>
    <row r="3257" spans="6:6" x14ac:dyDescent="0.3">
      <c r="F3257" s="190"/>
    </row>
    <row r="3258" spans="6:6" x14ac:dyDescent="0.3">
      <c r="F3258" s="190"/>
    </row>
    <row r="3259" spans="6:6" x14ac:dyDescent="0.3">
      <c r="F3259" s="190"/>
    </row>
    <row r="3260" spans="6:6" x14ac:dyDescent="0.3">
      <c r="F3260" s="190"/>
    </row>
    <row r="3261" spans="6:6" x14ac:dyDescent="0.3">
      <c r="F3261" s="190"/>
    </row>
    <row r="3262" spans="6:6" x14ac:dyDescent="0.3">
      <c r="F3262" s="190"/>
    </row>
    <row r="3263" spans="6:6" x14ac:dyDescent="0.3">
      <c r="F3263" s="190"/>
    </row>
    <row r="3264" spans="6:6" x14ac:dyDescent="0.3">
      <c r="F3264" s="190"/>
    </row>
    <row r="3265" spans="6:6" x14ac:dyDescent="0.3">
      <c r="F3265" s="190"/>
    </row>
    <row r="3266" spans="6:6" x14ac:dyDescent="0.3">
      <c r="F3266" s="190"/>
    </row>
    <row r="3267" spans="6:6" x14ac:dyDescent="0.3">
      <c r="F3267" s="190"/>
    </row>
    <row r="3268" spans="6:6" x14ac:dyDescent="0.3">
      <c r="F3268" s="190"/>
    </row>
    <row r="3269" spans="6:6" x14ac:dyDescent="0.3">
      <c r="F3269" s="190"/>
    </row>
    <row r="3270" spans="6:6" x14ac:dyDescent="0.3">
      <c r="F3270" s="190"/>
    </row>
    <row r="3271" spans="6:6" x14ac:dyDescent="0.3">
      <c r="F3271" s="190"/>
    </row>
    <row r="3272" spans="6:6" x14ac:dyDescent="0.3">
      <c r="F3272" s="190"/>
    </row>
    <row r="3273" spans="6:6" x14ac:dyDescent="0.3">
      <c r="F3273" s="190"/>
    </row>
    <row r="3274" spans="6:6" x14ac:dyDescent="0.3">
      <c r="F3274" s="190"/>
    </row>
    <row r="3275" spans="6:6" x14ac:dyDescent="0.3">
      <c r="F3275" s="190"/>
    </row>
    <row r="3276" spans="6:6" x14ac:dyDescent="0.3">
      <c r="F3276" s="190"/>
    </row>
    <row r="3277" spans="6:6" x14ac:dyDescent="0.3">
      <c r="F3277" s="190"/>
    </row>
    <row r="3278" spans="6:6" x14ac:dyDescent="0.3">
      <c r="F3278" s="190"/>
    </row>
    <row r="3279" spans="6:6" x14ac:dyDescent="0.3">
      <c r="F3279" s="190"/>
    </row>
    <row r="3280" spans="6:6" x14ac:dyDescent="0.3">
      <c r="F3280" s="190"/>
    </row>
    <row r="3281" spans="6:6" x14ac:dyDescent="0.3">
      <c r="F3281" s="190"/>
    </row>
    <row r="3282" spans="6:6" x14ac:dyDescent="0.3">
      <c r="F3282" s="190"/>
    </row>
    <row r="3283" spans="6:6" x14ac:dyDescent="0.3">
      <c r="F3283" s="190"/>
    </row>
    <row r="3284" spans="6:6" x14ac:dyDescent="0.3">
      <c r="F3284" s="190"/>
    </row>
    <row r="3285" spans="6:6" x14ac:dyDescent="0.3">
      <c r="F3285" s="190"/>
    </row>
    <row r="3286" spans="6:6" x14ac:dyDescent="0.3">
      <c r="F3286" s="190"/>
    </row>
    <row r="3287" spans="6:6" x14ac:dyDescent="0.3">
      <c r="F3287" s="190"/>
    </row>
    <row r="3288" spans="6:6" x14ac:dyDescent="0.3">
      <c r="F3288" s="190"/>
    </row>
    <row r="3289" spans="6:6" x14ac:dyDescent="0.3">
      <c r="F3289" s="190"/>
    </row>
    <row r="3290" spans="6:6" x14ac:dyDescent="0.3">
      <c r="F3290" s="190"/>
    </row>
    <row r="3291" spans="6:6" x14ac:dyDescent="0.3">
      <c r="F3291" s="190"/>
    </row>
    <row r="3292" spans="6:6" x14ac:dyDescent="0.3">
      <c r="F3292" s="190"/>
    </row>
    <row r="3293" spans="6:6" x14ac:dyDescent="0.3">
      <c r="F3293" s="190"/>
    </row>
    <row r="3294" spans="6:6" x14ac:dyDescent="0.3">
      <c r="F3294" s="190"/>
    </row>
    <row r="3295" spans="6:6" x14ac:dyDescent="0.3">
      <c r="F3295" s="190"/>
    </row>
    <row r="3296" spans="6:6" x14ac:dyDescent="0.3">
      <c r="F3296" s="190"/>
    </row>
    <row r="3297" spans="6:6" x14ac:dyDescent="0.3">
      <c r="F3297" s="190"/>
    </row>
    <row r="3298" spans="6:6" x14ac:dyDescent="0.3">
      <c r="F3298" s="190"/>
    </row>
    <row r="3299" spans="6:6" x14ac:dyDescent="0.3">
      <c r="F3299" s="190"/>
    </row>
    <row r="3300" spans="6:6" x14ac:dyDescent="0.3">
      <c r="F3300" s="190"/>
    </row>
    <row r="3301" spans="6:6" x14ac:dyDescent="0.3">
      <c r="F3301" s="190"/>
    </row>
    <row r="3302" spans="6:6" x14ac:dyDescent="0.3">
      <c r="F3302" s="190"/>
    </row>
    <row r="3303" spans="6:6" x14ac:dyDescent="0.3">
      <c r="F3303" s="190"/>
    </row>
    <row r="3304" spans="6:6" x14ac:dyDescent="0.3">
      <c r="F3304" s="190"/>
    </row>
    <row r="3305" spans="6:6" x14ac:dyDescent="0.3">
      <c r="F3305" s="190"/>
    </row>
    <row r="3306" spans="6:6" x14ac:dyDescent="0.3">
      <c r="F3306" s="190"/>
    </row>
    <row r="3307" spans="6:6" x14ac:dyDescent="0.3">
      <c r="F3307" s="190"/>
    </row>
    <row r="3308" spans="6:6" x14ac:dyDescent="0.3">
      <c r="F3308" s="190"/>
    </row>
    <row r="3309" spans="6:6" x14ac:dyDescent="0.3">
      <c r="F3309" s="190"/>
    </row>
    <row r="3310" spans="6:6" x14ac:dyDescent="0.3">
      <c r="F3310" s="190"/>
    </row>
    <row r="3311" spans="6:6" x14ac:dyDescent="0.3">
      <c r="F3311" s="190"/>
    </row>
    <row r="3312" spans="6:6" x14ac:dyDescent="0.3">
      <c r="F3312" s="190"/>
    </row>
    <row r="3313" spans="6:6" x14ac:dyDescent="0.3">
      <c r="F3313" s="190"/>
    </row>
    <row r="3314" spans="6:6" x14ac:dyDescent="0.3">
      <c r="F3314" s="190"/>
    </row>
    <row r="3315" spans="6:6" x14ac:dyDescent="0.3">
      <c r="F3315" s="190"/>
    </row>
    <row r="3316" spans="6:6" x14ac:dyDescent="0.3">
      <c r="F3316" s="190"/>
    </row>
    <row r="3317" spans="6:6" x14ac:dyDescent="0.3">
      <c r="F3317" s="190"/>
    </row>
    <row r="3318" spans="6:6" x14ac:dyDescent="0.3">
      <c r="F3318" s="190"/>
    </row>
    <row r="3319" spans="6:6" x14ac:dyDescent="0.3">
      <c r="F3319" s="190"/>
    </row>
    <row r="3320" spans="6:6" x14ac:dyDescent="0.3">
      <c r="F3320" s="190"/>
    </row>
    <row r="3321" spans="6:6" x14ac:dyDescent="0.3">
      <c r="F3321" s="190"/>
    </row>
    <row r="3322" spans="6:6" x14ac:dyDescent="0.3">
      <c r="F3322" s="190"/>
    </row>
    <row r="3323" spans="6:6" x14ac:dyDescent="0.3">
      <c r="F3323" s="190"/>
    </row>
    <row r="3324" spans="6:6" x14ac:dyDescent="0.3">
      <c r="F3324" s="190"/>
    </row>
    <row r="3325" spans="6:6" x14ac:dyDescent="0.3">
      <c r="F3325" s="190"/>
    </row>
    <row r="3326" spans="6:6" x14ac:dyDescent="0.3">
      <c r="F3326" s="190"/>
    </row>
    <row r="3327" spans="6:6" x14ac:dyDescent="0.3">
      <c r="F3327" s="190"/>
    </row>
    <row r="3328" spans="6:6" x14ac:dyDescent="0.3">
      <c r="F3328" s="190"/>
    </row>
    <row r="3329" spans="6:6" x14ac:dyDescent="0.3">
      <c r="F3329" s="190"/>
    </row>
    <row r="3330" spans="6:6" x14ac:dyDescent="0.3">
      <c r="F3330" s="190"/>
    </row>
    <row r="3331" spans="6:6" x14ac:dyDescent="0.3">
      <c r="F3331" s="190"/>
    </row>
    <row r="3332" spans="6:6" x14ac:dyDescent="0.3">
      <c r="F3332" s="190"/>
    </row>
    <row r="3333" spans="6:6" x14ac:dyDescent="0.3">
      <c r="F3333" s="190"/>
    </row>
    <row r="3334" spans="6:6" x14ac:dyDescent="0.3">
      <c r="F3334" s="190"/>
    </row>
    <row r="3335" spans="6:6" x14ac:dyDescent="0.3">
      <c r="F3335" s="190"/>
    </row>
    <row r="3336" spans="6:6" x14ac:dyDescent="0.3">
      <c r="F3336" s="190"/>
    </row>
    <row r="3337" spans="6:6" x14ac:dyDescent="0.3">
      <c r="F3337" s="190"/>
    </row>
    <row r="3338" spans="6:6" x14ac:dyDescent="0.3">
      <c r="F3338" s="190"/>
    </row>
    <row r="3339" spans="6:6" x14ac:dyDescent="0.3">
      <c r="F3339" s="190"/>
    </row>
    <row r="3340" spans="6:6" x14ac:dyDescent="0.3">
      <c r="F3340" s="190"/>
    </row>
    <row r="3341" spans="6:6" x14ac:dyDescent="0.3">
      <c r="F3341" s="190"/>
    </row>
    <row r="3342" spans="6:6" x14ac:dyDescent="0.3">
      <c r="F3342" s="190"/>
    </row>
    <row r="3343" spans="6:6" x14ac:dyDescent="0.3">
      <c r="F3343" s="190"/>
    </row>
    <row r="3344" spans="6:6" x14ac:dyDescent="0.3">
      <c r="F3344" s="190"/>
    </row>
    <row r="3345" spans="6:6" x14ac:dyDescent="0.3">
      <c r="F3345" s="190"/>
    </row>
    <row r="3346" spans="6:6" x14ac:dyDescent="0.3">
      <c r="F3346" s="190"/>
    </row>
    <row r="3347" spans="6:6" x14ac:dyDescent="0.3">
      <c r="F3347" s="190"/>
    </row>
    <row r="3348" spans="6:6" x14ac:dyDescent="0.3">
      <c r="F3348" s="190"/>
    </row>
    <row r="3349" spans="6:6" x14ac:dyDescent="0.3">
      <c r="F3349" s="190"/>
    </row>
    <row r="3350" spans="6:6" x14ac:dyDescent="0.3">
      <c r="F3350" s="190"/>
    </row>
    <row r="3351" spans="6:6" x14ac:dyDescent="0.3">
      <c r="F3351" s="190"/>
    </row>
    <row r="3352" spans="6:6" x14ac:dyDescent="0.3">
      <c r="F3352" s="190"/>
    </row>
    <row r="3353" spans="6:6" x14ac:dyDescent="0.3">
      <c r="F3353" s="190"/>
    </row>
    <row r="3354" spans="6:6" x14ac:dyDescent="0.3">
      <c r="F3354" s="190"/>
    </row>
    <row r="3355" spans="6:6" x14ac:dyDescent="0.3">
      <c r="F3355" s="190"/>
    </row>
    <row r="3356" spans="6:6" x14ac:dyDescent="0.3">
      <c r="F3356" s="190"/>
    </row>
    <row r="3357" spans="6:6" x14ac:dyDescent="0.3">
      <c r="F3357" s="190"/>
    </row>
    <row r="3358" spans="6:6" x14ac:dyDescent="0.3">
      <c r="F3358" s="190"/>
    </row>
    <row r="3359" spans="6:6" x14ac:dyDescent="0.3">
      <c r="F3359" s="190"/>
    </row>
    <row r="3360" spans="6:6" x14ac:dyDescent="0.3">
      <c r="F3360" s="190"/>
    </row>
    <row r="3361" spans="6:6" x14ac:dyDescent="0.3">
      <c r="F3361" s="190"/>
    </row>
    <row r="3362" spans="6:6" x14ac:dyDescent="0.3">
      <c r="F3362" s="190"/>
    </row>
    <row r="3363" spans="6:6" x14ac:dyDescent="0.3">
      <c r="F3363" s="190"/>
    </row>
    <row r="3364" spans="6:6" x14ac:dyDescent="0.3">
      <c r="F3364" s="190"/>
    </row>
    <row r="3365" spans="6:6" x14ac:dyDescent="0.3">
      <c r="F3365" s="190"/>
    </row>
    <row r="3366" spans="6:6" x14ac:dyDescent="0.3">
      <c r="F3366" s="190"/>
    </row>
    <row r="3367" spans="6:6" x14ac:dyDescent="0.3">
      <c r="F3367" s="190"/>
    </row>
    <row r="3368" spans="6:6" x14ac:dyDescent="0.3">
      <c r="F3368" s="190"/>
    </row>
    <row r="3369" spans="6:6" x14ac:dyDescent="0.3">
      <c r="F3369" s="190"/>
    </row>
    <row r="3370" spans="6:6" x14ac:dyDescent="0.3">
      <c r="F3370" s="190"/>
    </row>
    <row r="3371" spans="6:6" x14ac:dyDescent="0.3">
      <c r="F3371" s="190"/>
    </row>
    <row r="3372" spans="6:6" x14ac:dyDescent="0.3">
      <c r="F3372" s="190"/>
    </row>
    <row r="3373" spans="6:6" x14ac:dyDescent="0.3">
      <c r="F3373" s="190"/>
    </row>
    <row r="3374" spans="6:6" x14ac:dyDescent="0.3">
      <c r="F3374" s="190"/>
    </row>
    <row r="3375" spans="6:6" x14ac:dyDescent="0.3">
      <c r="F3375" s="190"/>
    </row>
    <row r="3376" spans="6:6" x14ac:dyDescent="0.3">
      <c r="F3376" s="190"/>
    </row>
    <row r="3377" spans="6:6" x14ac:dyDescent="0.3">
      <c r="F3377" s="190"/>
    </row>
    <row r="3378" spans="6:6" x14ac:dyDescent="0.3">
      <c r="F3378" s="190"/>
    </row>
    <row r="3379" spans="6:6" x14ac:dyDescent="0.3">
      <c r="F3379" s="190"/>
    </row>
    <row r="3380" spans="6:6" x14ac:dyDescent="0.3">
      <c r="F3380" s="190"/>
    </row>
    <row r="3381" spans="6:6" x14ac:dyDescent="0.3">
      <c r="F3381" s="190"/>
    </row>
    <row r="3382" spans="6:6" x14ac:dyDescent="0.3">
      <c r="F3382" s="190"/>
    </row>
    <row r="3383" spans="6:6" x14ac:dyDescent="0.3">
      <c r="F3383" s="190"/>
    </row>
    <row r="3384" spans="6:6" x14ac:dyDescent="0.3">
      <c r="F3384" s="190"/>
    </row>
    <row r="3385" spans="6:6" x14ac:dyDescent="0.3">
      <c r="F3385" s="190"/>
    </row>
    <row r="3386" spans="6:6" x14ac:dyDescent="0.3">
      <c r="F3386" s="190"/>
    </row>
    <row r="3387" spans="6:6" x14ac:dyDescent="0.3">
      <c r="F3387" s="190"/>
    </row>
    <row r="3388" spans="6:6" x14ac:dyDescent="0.3">
      <c r="F3388" s="190"/>
    </row>
    <row r="3389" spans="6:6" x14ac:dyDescent="0.3">
      <c r="F3389" s="190"/>
    </row>
    <row r="3390" spans="6:6" x14ac:dyDescent="0.3">
      <c r="F3390" s="190"/>
    </row>
    <row r="3391" spans="6:6" x14ac:dyDescent="0.3">
      <c r="F3391" s="190"/>
    </row>
    <row r="3392" spans="6:6" x14ac:dyDescent="0.3">
      <c r="F3392" s="190"/>
    </row>
    <row r="3393" spans="6:6" x14ac:dyDescent="0.3">
      <c r="F3393" s="190"/>
    </row>
    <row r="3394" spans="6:6" x14ac:dyDescent="0.3">
      <c r="F3394" s="190"/>
    </row>
    <row r="3395" spans="6:6" x14ac:dyDescent="0.3">
      <c r="F3395" s="190"/>
    </row>
    <row r="3396" spans="6:6" x14ac:dyDescent="0.3">
      <c r="F3396" s="190"/>
    </row>
    <row r="3397" spans="6:6" x14ac:dyDescent="0.3">
      <c r="F3397" s="190"/>
    </row>
    <row r="3398" spans="6:6" x14ac:dyDescent="0.3">
      <c r="F3398" s="190"/>
    </row>
    <row r="3399" spans="6:6" x14ac:dyDescent="0.3">
      <c r="F3399" s="190"/>
    </row>
    <row r="3400" spans="6:6" x14ac:dyDescent="0.3">
      <c r="F3400" s="190"/>
    </row>
    <row r="3401" spans="6:6" x14ac:dyDescent="0.3">
      <c r="F3401" s="190"/>
    </row>
    <row r="3402" spans="6:6" x14ac:dyDescent="0.3">
      <c r="F3402" s="190"/>
    </row>
    <row r="3403" spans="6:6" x14ac:dyDescent="0.3">
      <c r="F3403" s="190"/>
    </row>
    <row r="3404" spans="6:6" x14ac:dyDescent="0.3">
      <c r="F3404" s="190"/>
    </row>
    <row r="3405" spans="6:6" x14ac:dyDescent="0.3">
      <c r="F3405" s="190"/>
    </row>
    <row r="3406" spans="6:6" x14ac:dyDescent="0.3">
      <c r="F3406" s="190"/>
    </row>
    <row r="3407" spans="6:6" x14ac:dyDescent="0.3">
      <c r="F3407" s="190"/>
    </row>
    <row r="3408" spans="6:6" x14ac:dyDescent="0.3">
      <c r="F3408" s="190"/>
    </row>
    <row r="3409" spans="6:6" x14ac:dyDescent="0.3">
      <c r="F3409" s="190"/>
    </row>
    <row r="3410" spans="6:6" x14ac:dyDescent="0.3">
      <c r="F3410" s="190"/>
    </row>
    <row r="3411" spans="6:6" x14ac:dyDescent="0.3">
      <c r="F3411" s="190"/>
    </row>
    <row r="3412" spans="6:6" x14ac:dyDescent="0.3">
      <c r="F3412" s="190"/>
    </row>
    <row r="3413" spans="6:6" x14ac:dyDescent="0.3">
      <c r="F3413" s="190"/>
    </row>
    <row r="3414" spans="6:6" x14ac:dyDescent="0.3">
      <c r="F3414" s="190"/>
    </row>
    <row r="3415" spans="6:6" x14ac:dyDescent="0.3">
      <c r="F3415" s="190"/>
    </row>
    <row r="3416" spans="6:6" x14ac:dyDescent="0.3">
      <c r="F3416" s="190"/>
    </row>
    <row r="3417" spans="6:6" x14ac:dyDescent="0.3">
      <c r="F3417" s="190"/>
    </row>
    <row r="3418" spans="6:6" x14ac:dyDescent="0.3">
      <c r="F3418" s="190"/>
    </row>
    <row r="3419" spans="6:6" x14ac:dyDescent="0.3">
      <c r="F3419" s="190"/>
    </row>
    <row r="3420" spans="6:6" x14ac:dyDescent="0.3">
      <c r="F3420" s="190"/>
    </row>
    <row r="3421" spans="6:6" x14ac:dyDescent="0.3">
      <c r="F3421" s="190"/>
    </row>
    <row r="3422" spans="6:6" x14ac:dyDescent="0.3">
      <c r="F3422" s="190"/>
    </row>
    <row r="3423" spans="6:6" x14ac:dyDescent="0.3">
      <c r="F3423" s="190"/>
    </row>
    <row r="3424" spans="6:6" x14ac:dyDescent="0.3">
      <c r="F3424" s="190"/>
    </row>
    <row r="3425" spans="6:6" x14ac:dyDescent="0.3">
      <c r="F3425" s="190"/>
    </row>
    <row r="3426" spans="6:6" x14ac:dyDescent="0.3">
      <c r="F3426" s="190"/>
    </row>
    <row r="3427" spans="6:6" x14ac:dyDescent="0.3">
      <c r="F3427" s="190"/>
    </row>
    <row r="3428" spans="6:6" x14ac:dyDescent="0.3">
      <c r="F3428" s="190"/>
    </row>
    <row r="3429" spans="6:6" x14ac:dyDescent="0.3">
      <c r="F3429" s="190"/>
    </row>
    <row r="3430" spans="6:6" x14ac:dyDescent="0.3">
      <c r="F3430" s="190"/>
    </row>
    <row r="3431" spans="6:6" x14ac:dyDescent="0.3">
      <c r="F3431" s="190"/>
    </row>
    <row r="3432" spans="6:6" x14ac:dyDescent="0.3">
      <c r="F3432" s="190"/>
    </row>
    <row r="3433" spans="6:6" x14ac:dyDescent="0.3">
      <c r="F3433" s="190"/>
    </row>
    <row r="3434" spans="6:6" x14ac:dyDescent="0.3">
      <c r="F3434" s="190"/>
    </row>
    <row r="3435" spans="6:6" x14ac:dyDescent="0.3">
      <c r="F3435" s="190"/>
    </row>
    <row r="3436" spans="6:6" x14ac:dyDescent="0.3">
      <c r="F3436" s="190"/>
    </row>
    <row r="3437" spans="6:6" x14ac:dyDescent="0.3">
      <c r="F3437" s="190"/>
    </row>
    <row r="3438" spans="6:6" x14ac:dyDescent="0.3">
      <c r="F3438" s="190"/>
    </row>
    <row r="3439" spans="6:6" x14ac:dyDescent="0.3">
      <c r="F3439" s="190"/>
    </row>
    <row r="3440" spans="6:6" x14ac:dyDescent="0.3">
      <c r="F3440" s="190"/>
    </row>
    <row r="3441" spans="6:6" x14ac:dyDescent="0.3">
      <c r="F3441" s="190"/>
    </row>
    <row r="3442" spans="6:6" x14ac:dyDescent="0.3">
      <c r="F3442" s="190"/>
    </row>
    <row r="3443" spans="6:6" x14ac:dyDescent="0.3">
      <c r="F3443" s="190"/>
    </row>
    <row r="3444" spans="6:6" x14ac:dyDescent="0.3">
      <c r="F3444" s="190"/>
    </row>
    <row r="3445" spans="6:6" x14ac:dyDescent="0.3">
      <c r="F3445" s="190"/>
    </row>
    <row r="3446" spans="6:6" x14ac:dyDescent="0.3">
      <c r="F3446" s="190"/>
    </row>
    <row r="3447" spans="6:6" x14ac:dyDescent="0.3">
      <c r="F3447" s="190"/>
    </row>
    <row r="3448" spans="6:6" x14ac:dyDescent="0.3">
      <c r="F3448" s="190"/>
    </row>
    <row r="3449" spans="6:6" x14ac:dyDescent="0.3">
      <c r="F3449" s="190"/>
    </row>
    <row r="3450" spans="6:6" x14ac:dyDescent="0.3">
      <c r="F3450" s="190"/>
    </row>
    <row r="3451" spans="6:6" x14ac:dyDescent="0.3">
      <c r="F3451" s="190"/>
    </row>
    <row r="3452" spans="6:6" x14ac:dyDescent="0.3">
      <c r="F3452" s="190"/>
    </row>
    <row r="3453" spans="6:6" x14ac:dyDescent="0.3">
      <c r="F3453" s="190"/>
    </row>
    <row r="3454" spans="6:6" x14ac:dyDescent="0.3">
      <c r="F3454" s="190"/>
    </row>
    <row r="3455" spans="6:6" x14ac:dyDescent="0.3">
      <c r="F3455" s="190"/>
    </row>
    <row r="3456" spans="6:6" x14ac:dyDescent="0.3">
      <c r="F3456" s="190"/>
    </row>
    <row r="3457" spans="6:6" x14ac:dyDescent="0.3">
      <c r="F3457" s="190"/>
    </row>
    <row r="3458" spans="6:6" x14ac:dyDescent="0.3">
      <c r="F3458" s="190"/>
    </row>
    <row r="3459" spans="6:6" x14ac:dyDescent="0.3">
      <c r="F3459" s="190"/>
    </row>
    <row r="3460" spans="6:6" x14ac:dyDescent="0.3">
      <c r="F3460" s="190"/>
    </row>
    <row r="3461" spans="6:6" x14ac:dyDescent="0.3">
      <c r="F3461" s="190"/>
    </row>
    <row r="3462" spans="6:6" x14ac:dyDescent="0.3">
      <c r="F3462" s="190"/>
    </row>
    <row r="3463" spans="6:6" x14ac:dyDescent="0.3">
      <c r="F3463" s="190"/>
    </row>
    <row r="3464" spans="6:6" x14ac:dyDescent="0.3">
      <c r="F3464" s="190"/>
    </row>
    <row r="3465" spans="6:6" x14ac:dyDescent="0.3">
      <c r="F3465" s="190"/>
    </row>
    <row r="3466" spans="6:6" x14ac:dyDescent="0.3">
      <c r="F3466" s="190"/>
    </row>
    <row r="3467" spans="6:6" x14ac:dyDescent="0.3">
      <c r="F3467" s="190"/>
    </row>
    <row r="3468" spans="6:6" x14ac:dyDescent="0.3">
      <c r="F3468" s="190"/>
    </row>
    <row r="3469" spans="6:6" x14ac:dyDescent="0.3">
      <c r="F3469" s="190"/>
    </row>
    <row r="3470" spans="6:6" x14ac:dyDescent="0.3">
      <c r="F3470" s="190"/>
    </row>
    <row r="3471" spans="6:6" x14ac:dyDescent="0.3">
      <c r="F3471" s="190"/>
    </row>
    <row r="3472" spans="6:6" x14ac:dyDescent="0.3">
      <c r="F3472" s="190"/>
    </row>
    <row r="3473" spans="6:6" x14ac:dyDescent="0.3">
      <c r="F3473" s="190"/>
    </row>
    <row r="3474" spans="6:6" x14ac:dyDescent="0.3">
      <c r="F3474" s="190"/>
    </row>
    <row r="3475" spans="6:6" x14ac:dyDescent="0.3">
      <c r="F3475" s="190"/>
    </row>
    <row r="3476" spans="6:6" x14ac:dyDescent="0.3">
      <c r="F3476" s="190"/>
    </row>
    <row r="3477" spans="6:6" x14ac:dyDescent="0.3">
      <c r="F3477" s="190"/>
    </row>
    <row r="3478" spans="6:6" x14ac:dyDescent="0.3">
      <c r="F3478" s="190"/>
    </row>
    <row r="3479" spans="6:6" x14ac:dyDescent="0.3">
      <c r="F3479" s="190"/>
    </row>
    <row r="3480" spans="6:6" x14ac:dyDescent="0.3">
      <c r="F3480" s="190"/>
    </row>
    <row r="3481" spans="6:6" x14ac:dyDescent="0.3">
      <c r="F3481" s="190"/>
    </row>
    <row r="3482" spans="6:6" x14ac:dyDescent="0.3">
      <c r="F3482" s="190"/>
    </row>
    <row r="3483" spans="6:6" x14ac:dyDescent="0.3">
      <c r="F3483" s="190"/>
    </row>
    <row r="3484" spans="6:6" x14ac:dyDescent="0.3">
      <c r="F3484" s="190"/>
    </row>
    <row r="3485" spans="6:6" x14ac:dyDescent="0.3">
      <c r="F3485" s="190"/>
    </row>
    <row r="3486" spans="6:6" x14ac:dyDescent="0.3">
      <c r="F3486" s="190"/>
    </row>
    <row r="3487" spans="6:6" x14ac:dyDescent="0.3">
      <c r="F3487" s="190"/>
    </row>
    <row r="3488" spans="6:6" x14ac:dyDescent="0.3">
      <c r="F3488" s="190"/>
    </row>
    <row r="3489" spans="6:6" x14ac:dyDescent="0.3">
      <c r="F3489" s="190"/>
    </row>
    <row r="3490" spans="6:6" x14ac:dyDescent="0.3">
      <c r="F3490" s="190"/>
    </row>
    <row r="3491" spans="6:6" x14ac:dyDescent="0.3">
      <c r="F3491" s="190"/>
    </row>
    <row r="3492" spans="6:6" x14ac:dyDescent="0.3">
      <c r="F3492" s="190"/>
    </row>
    <row r="3493" spans="6:6" x14ac:dyDescent="0.3">
      <c r="F3493" s="190"/>
    </row>
    <row r="3494" spans="6:6" x14ac:dyDescent="0.3">
      <c r="F3494" s="190"/>
    </row>
    <row r="3495" spans="6:6" x14ac:dyDescent="0.3">
      <c r="F3495" s="190"/>
    </row>
    <row r="3496" spans="6:6" x14ac:dyDescent="0.3">
      <c r="F3496" s="190"/>
    </row>
    <row r="3497" spans="6:6" x14ac:dyDescent="0.3">
      <c r="F3497" s="190"/>
    </row>
    <row r="3498" spans="6:6" x14ac:dyDescent="0.3">
      <c r="F3498" s="190"/>
    </row>
    <row r="3499" spans="6:6" x14ac:dyDescent="0.3">
      <c r="F3499" s="190"/>
    </row>
    <row r="3500" spans="6:6" x14ac:dyDescent="0.3">
      <c r="F3500" s="190"/>
    </row>
    <row r="3501" spans="6:6" x14ac:dyDescent="0.3">
      <c r="F3501" s="190"/>
    </row>
    <row r="3502" spans="6:6" x14ac:dyDescent="0.3">
      <c r="F3502" s="190"/>
    </row>
    <row r="3503" spans="6:6" x14ac:dyDescent="0.3">
      <c r="F3503" s="190"/>
    </row>
    <row r="3504" spans="6:6" x14ac:dyDescent="0.3">
      <c r="F3504" s="190"/>
    </row>
    <row r="3505" spans="6:6" x14ac:dyDescent="0.3">
      <c r="F3505" s="190"/>
    </row>
    <row r="3506" spans="6:6" x14ac:dyDescent="0.3">
      <c r="F3506" s="190"/>
    </row>
    <row r="3507" spans="6:6" x14ac:dyDescent="0.3">
      <c r="F3507" s="190"/>
    </row>
    <row r="3508" spans="6:6" x14ac:dyDescent="0.3">
      <c r="F3508" s="190"/>
    </row>
    <row r="3509" spans="6:6" x14ac:dyDescent="0.3">
      <c r="F3509" s="190"/>
    </row>
    <row r="3510" spans="6:6" x14ac:dyDescent="0.3">
      <c r="F3510" s="190"/>
    </row>
    <row r="3511" spans="6:6" x14ac:dyDescent="0.3">
      <c r="F3511" s="190"/>
    </row>
    <row r="3512" spans="6:6" x14ac:dyDescent="0.3">
      <c r="F3512" s="190"/>
    </row>
    <row r="3513" spans="6:6" x14ac:dyDescent="0.3">
      <c r="F3513" s="190"/>
    </row>
    <row r="3514" spans="6:6" x14ac:dyDescent="0.3">
      <c r="F3514" s="190"/>
    </row>
    <row r="3515" spans="6:6" x14ac:dyDescent="0.3">
      <c r="F3515" s="190"/>
    </row>
    <row r="3516" spans="6:6" x14ac:dyDescent="0.3">
      <c r="F3516" s="190"/>
    </row>
    <row r="3517" spans="6:6" x14ac:dyDescent="0.3">
      <c r="F3517" s="190"/>
    </row>
    <row r="3518" spans="6:6" x14ac:dyDescent="0.3">
      <c r="F3518" s="190"/>
    </row>
    <row r="3519" spans="6:6" x14ac:dyDescent="0.3">
      <c r="F3519" s="190"/>
    </row>
    <row r="3520" spans="6:6" x14ac:dyDescent="0.3">
      <c r="F3520" s="190"/>
    </row>
    <row r="3521" spans="6:6" x14ac:dyDescent="0.3">
      <c r="F3521" s="190"/>
    </row>
    <row r="3522" spans="6:6" x14ac:dyDescent="0.3">
      <c r="F3522" s="190"/>
    </row>
    <row r="3523" spans="6:6" x14ac:dyDescent="0.3">
      <c r="F3523" s="190"/>
    </row>
    <row r="3524" spans="6:6" x14ac:dyDescent="0.3">
      <c r="F3524" s="190"/>
    </row>
    <row r="3525" spans="6:6" x14ac:dyDescent="0.3">
      <c r="F3525" s="190"/>
    </row>
    <row r="3526" spans="6:6" x14ac:dyDescent="0.3">
      <c r="F3526" s="190"/>
    </row>
    <row r="3527" spans="6:6" x14ac:dyDescent="0.3">
      <c r="F3527" s="190"/>
    </row>
    <row r="3528" spans="6:6" x14ac:dyDescent="0.3">
      <c r="F3528" s="190"/>
    </row>
    <row r="3529" spans="6:6" x14ac:dyDescent="0.3">
      <c r="F3529" s="190"/>
    </row>
    <row r="3530" spans="6:6" x14ac:dyDescent="0.3">
      <c r="F3530" s="190"/>
    </row>
    <row r="3531" spans="6:6" x14ac:dyDescent="0.3">
      <c r="F3531" s="190"/>
    </row>
    <row r="3532" spans="6:6" x14ac:dyDescent="0.3">
      <c r="F3532" s="190"/>
    </row>
    <row r="3533" spans="6:6" x14ac:dyDescent="0.3">
      <c r="F3533" s="190"/>
    </row>
    <row r="3534" spans="6:6" x14ac:dyDescent="0.3">
      <c r="F3534" s="190"/>
    </row>
    <row r="3535" spans="6:6" x14ac:dyDescent="0.3">
      <c r="F3535" s="190"/>
    </row>
    <row r="3536" spans="6:6" x14ac:dyDescent="0.3">
      <c r="F3536" s="190"/>
    </row>
    <row r="3537" spans="6:6" x14ac:dyDescent="0.3">
      <c r="F3537" s="190"/>
    </row>
    <row r="3538" spans="6:6" x14ac:dyDescent="0.3">
      <c r="F3538" s="190"/>
    </row>
    <row r="3539" spans="6:6" x14ac:dyDescent="0.3">
      <c r="F3539" s="190"/>
    </row>
    <row r="3540" spans="6:6" x14ac:dyDescent="0.3">
      <c r="F3540" s="190"/>
    </row>
    <row r="3541" spans="6:6" x14ac:dyDescent="0.3">
      <c r="F3541" s="190"/>
    </row>
    <row r="3542" spans="6:6" x14ac:dyDescent="0.3">
      <c r="F3542" s="190"/>
    </row>
    <row r="3543" spans="6:6" x14ac:dyDescent="0.3">
      <c r="F3543" s="190"/>
    </row>
    <row r="3544" spans="6:6" x14ac:dyDescent="0.3">
      <c r="F3544" s="190"/>
    </row>
    <row r="3545" spans="6:6" x14ac:dyDescent="0.3">
      <c r="F3545" s="190"/>
    </row>
    <row r="3546" spans="6:6" x14ac:dyDescent="0.3">
      <c r="F3546" s="190"/>
    </row>
    <row r="3547" spans="6:6" x14ac:dyDescent="0.3">
      <c r="F3547" s="190"/>
    </row>
    <row r="3548" spans="6:6" x14ac:dyDescent="0.3">
      <c r="F3548" s="190"/>
    </row>
    <row r="3549" spans="6:6" x14ac:dyDescent="0.3">
      <c r="F3549" s="190"/>
    </row>
    <row r="3550" spans="6:6" x14ac:dyDescent="0.3">
      <c r="F3550" s="190"/>
    </row>
    <row r="3551" spans="6:6" x14ac:dyDescent="0.3">
      <c r="F3551" s="190"/>
    </row>
    <row r="3552" spans="6:6" x14ac:dyDescent="0.3">
      <c r="F3552" s="190"/>
    </row>
    <row r="3553" spans="6:6" x14ac:dyDescent="0.3">
      <c r="F3553" s="190"/>
    </row>
    <row r="3554" spans="6:6" x14ac:dyDescent="0.3">
      <c r="F3554" s="190"/>
    </row>
    <row r="3555" spans="6:6" x14ac:dyDescent="0.3">
      <c r="F3555" s="190"/>
    </row>
    <row r="3556" spans="6:6" x14ac:dyDescent="0.3">
      <c r="F3556" s="190"/>
    </row>
    <row r="3557" spans="6:6" x14ac:dyDescent="0.3">
      <c r="F3557" s="190"/>
    </row>
    <row r="3558" spans="6:6" x14ac:dyDescent="0.3">
      <c r="F3558" s="190"/>
    </row>
    <row r="3559" spans="6:6" x14ac:dyDescent="0.3">
      <c r="F3559" s="190"/>
    </row>
    <row r="3560" spans="6:6" x14ac:dyDescent="0.3">
      <c r="F3560" s="190"/>
    </row>
    <row r="3561" spans="6:6" x14ac:dyDescent="0.3">
      <c r="F3561" s="190"/>
    </row>
    <row r="3562" spans="6:6" x14ac:dyDescent="0.3">
      <c r="F3562" s="190"/>
    </row>
    <row r="3563" spans="6:6" x14ac:dyDescent="0.3">
      <c r="F3563" s="190"/>
    </row>
    <row r="3564" spans="6:6" x14ac:dyDescent="0.3">
      <c r="F3564" s="190"/>
    </row>
    <row r="3565" spans="6:6" x14ac:dyDescent="0.3">
      <c r="F3565" s="190"/>
    </row>
    <row r="3566" spans="6:6" x14ac:dyDescent="0.3">
      <c r="F3566" s="190"/>
    </row>
    <row r="3567" spans="6:6" x14ac:dyDescent="0.3">
      <c r="F3567" s="190"/>
    </row>
    <row r="3568" spans="6:6" x14ac:dyDescent="0.3">
      <c r="F3568" s="190"/>
    </row>
    <row r="3569" spans="6:6" x14ac:dyDescent="0.3">
      <c r="F3569" s="190"/>
    </row>
    <row r="3570" spans="6:6" x14ac:dyDescent="0.3">
      <c r="F3570" s="190"/>
    </row>
    <row r="3571" spans="6:6" x14ac:dyDescent="0.3">
      <c r="F3571" s="190"/>
    </row>
    <row r="3572" spans="6:6" x14ac:dyDescent="0.3">
      <c r="F3572" s="190"/>
    </row>
    <row r="3573" spans="6:6" x14ac:dyDescent="0.3">
      <c r="F3573" s="190"/>
    </row>
    <row r="3574" spans="6:6" x14ac:dyDescent="0.3">
      <c r="F3574" s="190"/>
    </row>
    <row r="3575" spans="6:6" x14ac:dyDescent="0.3">
      <c r="F3575" s="190"/>
    </row>
    <row r="3576" spans="6:6" x14ac:dyDescent="0.3">
      <c r="F3576" s="190"/>
    </row>
    <row r="3577" spans="6:6" x14ac:dyDescent="0.3">
      <c r="F3577" s="190"/>
    </row>
    <row r="3578" spans="6:6" x14ac:dyDescent="0.3">
      <c r="F3578" s="190"/>
    </row>
    <row r="3579" spans="6:6" x14ac:dyDescent="0.3">
      <c r="F3579" s="190"/>
    </row>
    <row r="3580" spans="6:6" x14ac:dyDescent="0.3">
      <c r="F3580" s="190"/>
    </row>
    <row r="3581" spans="6:6" x14ac:dyDescent="0.3">
      <c r="F3581" s="190"/>
    </row>
    <row r="3582" spans="6:6" x14ac:dyDescent="0.3">
      <c r="F3582" s="190"/>
    </row>
    <row r="3583" spans="6:6" x14ac:dyDescent="0.3">
      <c r="F3583" s="190"/>
    </row>
    <row r="3584" spans="6:6" x14ac:dyDescent="0.3">
      <c r="F3584" s="190"/>
    </row>
    <row r="3585" spans="6:6" x14ac:dyDescent="0.3">
      <c r="F3585" s="190"/>
    </row>
    <row r="3586" spans="6:6" x14ac:dyDescent="0.3">
      <c r="F3586" s="190"/>
    </row>
    <row r="3587" spans="6:6" x14ac:dyDescent="0.3">
      <c r="F3587" s="190"/>
    </row>
    <row r="3588" spans="6:6" x14ac:dyDescent="0.3">
      <c r="F3588" s="190"/>
    </row>
    <row r="3589" spans="6:6" x14ac:dyDescent="0.3">
      <c r="F3589" s="190"/>
    </row>
    <row r="3590" spans="6:6" x14ac:dyDescent="0.3">
      <c r="F3590" s="190"/>
    </row>
    <row r="3591" spans="6:6" x14ac:dyDescent="0.3">
      <c r="F3591" s="190"/>
    </row>
    <row r="3592" spans="6:6" x14ac:dyDescent="0.3">
      <c r="F3592" s="190"/>
    </row>
    <row r="3593" spans="6:6" x14ac:dyDescent="0.3">
      <c r="F3593" s="190"/>
    </row>
    <row r="3594" spans="6:6" x14ac:dyDescent="0.3">
      <c r="F3594" s="190"/>
    </row>
    <row r="3595" spans="6:6" x14ac:dyDescent="0.3">
      <c r="F3595" s="190"/>
    </row>
    <row r="3596" spans="6:6" x14ac:dyDescent="0.3">
      <c r="F3596" s="190"/>
    </row>
    <row r="3597" spans="6:6" x14ac:dyDescent="0.3">
      <c r="F3597" s="190"/>
    </row>
    <row r="3598" spans="6:6" x14ac:dyDescent="0.3">
      <c r="F3598" s="190"/>
    </row>
    <row r="3599" spans="6:6" x14ac:dyDescent="0.3">
      <c r="F3599" s="190"/>
    </row>
    <row r="3600" spans="6:6" x14ac:dyDescent="0.3">
      <c r="F3600" s="190"/>
    </row>
    <row r="3601" spans="6:6" x14ac:dyDescent="0.3">
      <c r="F3601" s="190"/>
    </row>
    <row r="3602" spans="6:6" x14ac:dyDescent="0.3">
      <c r="F3602" s="190"/>
    </row>
    <row r="3603" spans="6:6" x14ac:dyDescent="0.3">
      <c r="F3603" s="190"/>
    </row>
    <row r="3604" spans="6:6" x14ac:dyDescent="0.3">
      <c r="F3604" s="190"/>
    </row>
    <row r="3605" spans="6:6" x14ac:dyDescent="0.3">
      <c r="F3605" s="190"/>
    </row>
    <row r="3606" spans="6:6" x14ac:dyDescent="0.3">
      <c r="F3606" s="190"/>
    </row>
    <row r="3607" spans="6:6" x14ac:dyDescent="0.3">
      <c r="F3607" s="190"/>
    </row>
    <row r="3608" spans="6:6" x14ac:dyDescent="0.3">
      <c r="F3608" s="190"/>
    </row>
    <row r="3609" spans="6:6" x14ac:dyDescent="0.3">
      <c r="F3609" s="190"/>
    </row>
    <row r="3610" spans="6:6" x14ac:dyDescent="0.3">
      <c r="F3610" s="190"/>
    </row>
    <row r="3611" spans="6:6" x14ac:dyDescent="0.3">
      <c r="F3611" s="190"/>
    </row>
    <row r="3612" spans="6:6" x14ac:dyDescent="0.3">
      <c r="F3612" s="190"/>
    </row>
    <row r="3613" spans="6:6" x14ac:dyDescent="0.3">
      <c r="F3613" s="190"/>
    </row>
    <row r="3614" spans="6:6" x14ac:dyDescent="0.3">
      <c r="F3614" s="190"/>
    </row>
    <row r="3615" spans="6:6" x14ac:dyDescent="0.3">
      <c r="F3615" s="190"/>
    </row>
    <row r="3616" spans="6:6" x14ac:dyDescent="0.3">
      <c r="F3616" s="190"/>
    </row>
    <row r="3617" spans="6:6" x14ac:dyDescent="0.3">
      <c r="F3617" s="190"/>
    </row>
    <row r="3618" spans="6:6" x14ac:dyDescent="0.3">
      <c r="F3618" s="190"/>
    </row>
    <row r="3619" spans="6:6" x14ac:dyDescent="0.3">
      <c r="F3619" s="190"/>
    </row>
    <row r="3620" spans="6:6" x14ac:dyDescent="0.3">
      <c r="F3620" s="190"/>
    </row>
    <row r="3621" spans="6:6" x14ac:dyDescent="0.3">
      <c r="F3621" s="190"/>
    </row>
    <row r="3622" spans="6:6" x14ac:dyDescent="0.3">
      <c r="F3622" s="190"/>
    </row>
    <row r="3623" spans="6:6" x14ac:dyDescent="0.3">
      <c r="F3623" s="190"/>
    </row>
    <row r="3624" spans="6:6" x14ac:dyDescent="0.3">
      <c r="F3624" s="190"/>
    </row>
    <row r="3625" spans="6:6" x14ac:dyDescent="0.3">
      <c r="F3625" s="190"/>
    </row>
    <row r="3626" spans="6:6" x14ac:dyDescent="0.3">
      <c r="F3626" s="190"/>
    </row>
    <row r="3627" spans="6:6" x14ac:dyDescent="0.3">
      <c r="F3627" s="190"/>
    </row>
    <row r="3628" spans="6:6" x14ac:dyDescent="0.3">
      <c r="F3628" s="190"/>
    </row>
    <row r="3629" spans="6:6" x14ac:dyDescent="0.3">
      <c r="F3629" s="190"/>
    </row>
    <row r="3630" spans="6:6" x14ac:dyDescent="0.3">
      <c r="F3630" s="190"/>
    </row>
    <row r="3631" spans="6:6" x14ac:dyDescent="0.3">
      <c r="F3631" s="190"/>
    </row>
    <row r="3632" spans="6:6" x14ac:dyDescent="0.3">
      <c r="F3632" s="190"/>
    </row>
    <row r="3633" spans="6:6" x14ac:dyDescent="0.3">
      <c r="F3633" s="190"/>
    </row>
    <row r="3634" spans="6:6" x14ac:dyDescent="0.3">
      <c r="F3634" s="190"/>
    </row>
    <row r="3635" spans="6:6" x14ac:dyDescent="0.3">
      <c r="F3635" s="190"/>
    </row>
    <row r="3636" spans="6:6" x14ac:dyDescent="0.3">
      <c r="F3636" s="190"/>
    </row>
    <row r="3637" spans="6:6" x14ac:dyDescent="0.3">
      <c r="F3637" s="190"/>
    </row>
    <row r="3638" spans="6:6" x14ac:dyDescent="0.3">
      <c r="F3638" s="190"/>
    </row>
    <row r="3639" spans="6:6" x14ac:dyDescent="0.3">
      <c r="F3639" s="190"/>
    </row>
    <row r="3640" spans="6:6" x14ac:dyDescent="0.3">
      <c r="F3640" s="190"/>
    </row>
    <row r="3641" spans="6:6" x14ac:dyDescent="0.3">
      <c r="F3641" s="190"/>
    </row>
    <row r="3642" spans="6:6" x14ac:dyDescent="0.3">
      <c r="F3642" s="190"/>
    </row>
    <row r="3643" spans="6:6" x14ac:dyDescent="0.3">
      <c r="F3643" s="190"/>
    </row>
    <row r="3644" spans="6:6" x14ac:dyDescent="0.3">
      <c r="F3644" s="190"/>
    </row>
    <row r="3645" spans="6:6" x14ac:dyDescent="0.3">
      <c r="F3645" s="190"/>
    </row>
    <row r="3646" spans="6:6" x14ac:dyDescent="0.3">
      <c r="F3646" s="190"/>
    </row>
    <row r="3647" spans="6:6" x14ac:dyDescent="0.3">
      <c r="F3647" s="190"/>
    </row>
    <row r="3648" spans="6:6" x14ac:dyDescent="0.3">
      <c r="F3648" s="190"/>
    </row>
    <row r="3649" spans="6:6" x14ac:dyDescent="0.3">
      <c r="F3649" s="190"/>
    </row>
    <row r="3650" spans="6:6" x14ac:dyDescent="0.3">
      <c r="F3650" s="190"/>
    </row>
    <row r="3651" spans="6:6" x14ac:dyDescent="0.3">
      <c r="F3651" s="190"/>
    </row>
    <row r="3652" spans="6:6" x14ac:dyDescent="0.3">
      <c r="F3652" s="190"/>
    </row>
    <row r="3653" spans="6:6" x14ac:dyDescent="0.3">
      <c r="F3653" s="190"/>
    </row>
    <row r="3654" spans="6:6" x14ac:dyDescent="0.3">
      <c r="F3654" s="190"/>
    </row>
    <row r="3655" spans="6:6" x14ac:dyDescent="0.3">
      <c r="F3655" s="190"/>
    </row>
    <row r="3656" spans="6:6" x14ac:dyDescent="0.3">
      <c r="F3656" s="190"/>
    </row>
    <row r="3657" spans="6:6" x14ac:dyDescent="0.3">
      <c r="F3657" s="190"/>
    </row>
    <row r="3658" spans="6:6" x14ac:dyDescent="0.3">
      <c r="F3658" s="190"/>
    </row>
    <row r="3659" spans="6:6" x14ac:dyDescent="0.3">
      <c r="F3659" s="190"/>
    </row>
    <row r="3660" spans="6:6" x14ac:dyDescent="0.3">
      <c r="F3660" s="190"/>
    </row>
    <row r="3661" spans="6:6" x14ac:dyDescent="0.3">
      <c r="F3661" s="190"/>
    </row>
    <row r="3662" spans="6:6" x14ac:dyDescent="0.3">
      <c r="F3662" s="190"/>
    </row>
    <row r="3663" spans="6:6" x14ac:dyDescent="0.3">
      <c r="F3663" s="190"/>
    </row>
    <row r="3664" spans="6:6" x14ac:dyDescent="0.3">
      <c r="F3664" s="190"/>
    </row>
    <row r="3665" spans="6:6" x14ac:dyDescent="0.3">
      <c r="F3665" s="190"/>
    </row>
    <row r="3666" spans="6:6" x14ac:dyDescent="0.3">
      <c r="F3666" s="190"/>
    </row>
    <row r="3667" spans="6:6" x14ac:dyDescent="0.3">
      <c r="F3667" s="190"/>
    </row>
    <row r="3668" spans="6:6" x14ac:dyDescent="0.3">
      <c r="F3668" s="190"/>
    </row>
    <row r="3669" spans="6:6" x14ac:dyDescent="0.3">
      <c r="F3669" s="190"/>
    </row>
    <row r="3670" spans="6:6" x14ac:dyDescent="0.3">
      <c r="F3670" s="190"/>
    </row>
    <row r="3671" spans="6:6" x14ac:dyDescent="0.3">
      <c r="F3671" s="190"/>
    </row>
    <row r="3672" spans="6:6" x14ac:dyDescent="0.3">
      <c r="F3672" s="190"/>
    </row>
    <row r="3673" spans="6:6" x14ac:dyDescent="0.3">
      <c r="F3673" s="190"/>
    </row>
    <row r="3674" spans="6:6" x14ac:dyDescent="0.3">
      <c r="F3674" s="190"/>
    </row>
    <row r="3675" spans="6:6" x14ac:dyDescent="0.3">
      <c r="F3675" s="190"/>
    </row>
    <row r="3676" spans="6:6" x14ac:dyDescent="0.3">
      <c r="F3676" s="190"/>
    </row>
    <row r="3677" spans="6:6" x14ac:dyDescent="0.3">
      <c r="F3677" s="190"/>
    </row>
    <row r="3678" spans="6:6" x14ac:dyDescent="0.3">
      <c r="F3678" s="190"/>
    </row>
    <row r="3679" spans="6:6" x14ac:dyDescent="0.3">
      <c r="F3679" s="190"/>
    </row>
    <row r="3680" spans="6:6" x14ac:dyDescent="0.3">
      <c r="F3680" s="190"/>
    </row>
    <row r="3681" spans="6:6" x14ac:dyDescent="0.3">
      <c r="F3681" s="190"/>
    </row>
    <row r="3682" spans="6:6" x14ac:dyDescent="0.3">
      <c r="F3682" s="190"/>
    </row>
    <row r="3683" spans="6:6" x14ac:dyDescent="0.3">
      <c r="F3683" s="190"/>
    </row>
    <row r="3684" spans="6:6" x14ac:dyDescent="0.3">
      <c r="F3684" s="190"/>
    </row>
    <row r="3685" spans="6:6" x14ac:dyDescent="0.3">
      <c r="F3685" s="190"/>
    </row>
    <row r="3686" spans="6:6" x14ac:dyDescent="0.3">
      <c r="F3686" s="190"/>
    </row>
    <row r="3687" spans="6:6" x14ac:dyDescent="0.3">
      <c r="F3687" s="190"/>
    </row>
    <row r="3688" spans="6:6" x14ac:dyDescent="0.3">
      <c r="F3688" s="190"/>
    </row>
    <row r="3689" spans="6:6" x14ac:dyDescent="0.3">
      <c r="F3689" s="190"/>
    </row>
    <row r="3690" spans="6:6" x14ac:dyDescent="0.3">
      <c r="F3690" s="190"/>
    </row>
    <row r="3691" spans="6:6" x14ac:dyDescent="0.3">
      <c r="F3691" s="190"/>
    </row>
    <row r="3692" spans="6:6" x14ac:dyDescent="0.3">
      <c r="F3692" s="190"/>
    </row>
    <row r="3693" spans="6:6" x14ac:dyDescent="0.3">
      <c r="F3693" s="190"/>
    </row>
    <row r="3694" spans="6:6" x14ac:dyDescent="0.3">
      <c r="F3694" s="190"/>
    </row>
    <row r="3695" spans="6:6" x14ac:dyDescent="0.3">
      <c r="F3695" s="190"/>
    </row>
    <row r="3696" spans="6:6" x14ac:dyDescent="0.3">
      <c r="F3696" s="190"/>
    </row>
    <row r="3697" spans="6:6" x14ac:dyDescent="0.3">
      <c r="F3697" s="190"/>
    </row>
    <row r="3698" spans="6:6" x14ac:dyDescent="0.3">
      <c r="F3698" s="190"/>
    </row>
    <row r="3699" spans="6:6" x14ac:dyDescent="0.3">
      <c r="F3699" s="190"/>
    </row>
    <row r="3700" spans="6:6" x14ac:dyDescent="0.3">
      <c r="F3700" s="190"/>
    </row>
    <row r="3701" spans="6:6" x14ac:dyDescent="0.3">
      <c r="F3701" s="190"/>
    </row>
    <row r="3702" spans="6:6" x14ac:dyDescent="0.3">
      <c r="F3702" s="190"/>
    </row>
    <row r="3703" spans="6:6" x14ac:dyDescent="0.3">
      <c r="F3703" s="190"/>
    </row>
    <row r="3704" spans="6:6" x14ac:dyDescent="0.3">
      <c r="F3704" s="190"/>
    </row>
    <row r="3705" spans="6:6" x14ac:dyDescent="0.3">
      <c r="F3705" s="190"/>
    </row>
    <row r="3706" spans="6:6" x14ac:dyDescent="0.3">
      <c r="F3706" s="190"/>
    </row>
    <row r="3707" spans="6:6" x14ac:dyDescent="0.3">
      <c r="F3707" s="190"/>
    </row>
    <row r="3708" spans="6:6" x14ac:dyDescent="0.3">
      <c r="F3708" s="190"/>
    </row>
    <row r="3709" spans="6:6" x14ac:dyDescent="0.3">
      <c r="F3709" s="190"/>
    </row>
    <row r="3710" spans="6:6" x14ac:dyDescent="0.3">
      <c r="F3710" s="190"/>
    </row>
    <row r="3711" spans="6:6" x14ac:dyDescent="0.3">
      <c r="F3711" s="190"/>
    </row>
    <row r="3712" spans="6:6" x14ac:dyDescent="0.3">
      <c r="F3712" s="190"/>
    </row>
    <row r="3713" spans="6:6" x14ac:dyDescent="0.3">
      <c r="F3713" s="190"/>
    </row>
    <row r="3714" spans="6:6" x14ac:dyDescent="0.3">
      <c r="F3714" s="190"/>
    </row>
    <row r="3715" spans="6:6" x14ac:dyDescent="0.3">
      <c r="F3715" s="190"/>
    </row>
    <row r="3716" spans="6:6" x14ac:dyDescent="0.3">
      <c r="F3716" s="190"/>
    </row>
    <row r="3717" spans="6:6" x14ac:dyDescent="0.3">
      <c r="F3717" s="190"/>
    </row>
    <row r="3718" spans="6:6" x14ac:dyDescent="0.3">
      <c r="F3718" s="190"/>
    </row>
    <row r="3719" spans="6:6" x14ac:dyDescent="0.3">
      <c r="F3719" s="190"/>
    </row>
    <row r="3720" spans="6:6" x14ac:dyDescent="0.3">
      <c r="F3720" s="190"/>
    </row>
    <row r="3721" spans="6:6" x14ac:dyDescent="0.3">
      <c r="F3721" s="190"/>
    </row>
    <row r="3722" spans="6:6" x14ac:dyDescent="0.3">
      <c r="F3722" s="190"/>
    </row>
    <row r="3723" spans="6:6" x14ac:dyDescent="0.3">
      <c r="F3723" s="190"/>
    </row>
    <row r="3724" spans="6:6" x14ac:dyDescent="0.3">
      <c r="F3724" s="190"/>
    </row>
    <row r="3725" spans="6:6" x14ac:dyDescent="0.3">
      <c r="F3725" s="190"/>
    </row>
    <row r="3726" spans="6:6" x14ac:dyDescent="0.3">
      <c r="F3726" s="190"/>
    </row>
    <row r="3727" spans="6:6" x14ac:dyDescent="0.3">
      <c r="F3727" s="190"/>
    </row>
    <row r="3728" spans="6:6" x14ac:dyDescent="0.3">
      <c r="F3728" s="190"/>
    </row>
    <row r="3729" spans="6:6" x14ac:dyDescent="0.3">
      <c r="F3729" s="190"/>
    </row>
    <row r="3730" spans="6:6" x14ac:dyDescent="0.3">
      <c r="F3730" s="190"/>
    </row>
    <row r="3731" spans="6:6" x14ac:dyDescent="0.3">
      <c r="F3731" s="190"/>
    </row>
    <row r="3732" spans="6:6" x14ac:dyDescent="0.3">
      <c r="F3732" s="190"/>
    </row>
    <row r="3733" spans="6:6" x14ac:dyDescent="0.3">
      <c r="F3733" s="190"/>
    </row>
    <row r="3734" spans="6:6" x14ac:dyDescent="0.3">
      <c r="F3734" s="190"/>
    </row>
    <row r="3735" spans="6:6" x14ac:dyDescent="0.3">
      <c r="F3735" s="190"/>
    </row>
    <row r="3736" spans="6:6" x14ac:dyDescent="0.3">
      <c r="F3736" s="190"/>
    </row>
    <row r="3737" spans="6:6" x14ac:dyDescent="0.3">
      <c r="F3737" s="190"/>
    </row>
    <row r="3738" spans="6:6" x14ac:dyDescent="0.3">
      <c r="F3738" s="190"/>
    </row>
    <row r="3739" spans="6:6" x14ac:dyDescent="0.3">
      <c r="F3739" s="190"/>
    </row>
    <row r="3740" spans="6:6" x14ac:dyDescent="0.3">
      <c r="F3740" s="190"/>
    </row>
    <row r="3741" spans="6:6" x14ac:dyDescent="0.3">
      <c r="F3741" s="190"/>
    </row>
    <row r="3742" spans="6:6" x14ac:dyDescent="0.3">
      <c r="F3742" s="190"/>
    </row>
    <row r="3743" spans="6:6" x14ac:dyDescent="0.3">
      <c r="F3743" s="190"/>
    </row>
    <row r="3744" spans="6:6" x14ac:dyDescent="0.3">
      <c r="F3744" s="190"/>
    </row>
    <row r="3745" spans="6:6" x14ac:dyDescent="0.3">
      <c r="F3745" s="190"/>
    </row>
    <row r="3746" spans="6:6" x14ac:dyDescent="0.3">
      <c r="F3746" s="190"/>
    </row>
    <row r="3747" spans="6:6" x14ac:dyDescent="0.3">
      <c r="F3747" s="190"/>
    </row>
    <row r="3748" spans="6:6" x14ac:dyDescent="0.3">
      <c r="F3748" s="190"/>
    </row>
    <row r="3749" spans="6:6" x14ac:dyDescent="0.3">
      <c r="F3749" s="190"/>
    </row>
    <row r="3750" spans="6:6" x14ac:dyDescent="0.3">
      <c r="F3750" s="190"/>
    </row>
    <row r="3751" spans="6:6" x14ac:dyDescent="0.3">
      <c r="F3751" s="190"/>
    </row>
    <row r="3752" spans="6:6" x14ac:dyDescent="0.3">
      <c r="F3752" s="190"/>
    </row>
    <row r="3753" spans="6:6" x14ac:dyDescent="0.3">
      <c r="F3753" s="190"/>
    </row>
    <row r="3754" spans="6:6" x14ac:dyDescent="0.3">
      <c r="F3754" s="190"/>
    </row>
    <row r="3755" spans="6:6" x14ac:dyDescent="0.3">
      <c r="F3755" s="190"/>
    </row>
    <row r="3756" spans="6:6" x14ac:dyDescent="0.3">
      <c r="F3756" s="190"/>
    </row>
    <row r="3757" spans="6:6" x14ac:dyDescent="0.3">
      <c r="F3757" s="190"/>
    </row>
    <row r="3758" spans="6:6" x14ac:dyDescent="0.3">
      <c r="F3758" s="190"/>
    </row>
    <row r="3759" spans="6:6" x14ac:dyDescent="0.3">
      <c r="F3759" s="190"/>
    </row>
    <row r="3760" spans="6:6" x14ac:dyDescent="0.3">
      <c r="F3760" s="190"/>
    </row>
    <row r="3761" spans="6:6" x14ac:dyDescent="0.3">
      <c r="F3761" s="190"/>
    </row>
    <row r="3762" spans="6:6" x14ac:dyDescent="0.3">
      <c r="F3762" s="190"/>
    </row>
    <row r="3763" spans="6:6" x14ac:dyDescent="0.3">
      <c r="F3763" s="190"/>
    </row>
    <row r="3764" spans="6:6" x14ac:dyDescent="0.3">
      <c r="F3764" s="190"/>
    </row>
    <row r="3765" spans="6:6" x14ac:dyDescent="0.3">
      <c r="F3765" s="190"/>
    </row>
    <row r="3766" spans="6:6" x14ac:dyDescent="0.3">
      <c r="F3766" s="190"/>
    </row>
    <row r="3767" spans="6:6" x14ac:dyDescent="0.3">
      <c r="F3767" s="190"/>
    </row>
    <row r="3768" spans="6:6" x14ac:dyDescent="0.3">
      <c r="F3768" s="190"/>
    </row>
    <row r="3769" spans="6:6" x14ac:dyDescent="0.3">
      <c r="F3769" s="190"/>
    </row>
    <row r="3770" spans="6:6" x14ac:dyDescent="0.3">
      <c r="F3770" s="190"/>
    </row>
    <row r="3771" spans="6:6" x14ac:dyDescent="0.3">
      <c r="F3771" s="190"/>
    </row>
    <row r="3772" spans="6:6" x14ac:dyDescent="0.3">
      <c r="F3772" s="190"/>
    </row>
    <row r="3773" spans="6:6" x14ac:dyDescent="0.3">
      <c r="F3773" s="190"/>
    </row>
    <row r="3774" spans="6:6" x14ac:dyDescent="0.3">
      <c r="F3774" s="190"/>
    </row>
    <row r="3775" spans="6:6" x14ac:dyDescent="0.3">
      <c r="F3775" s="190"/>
    </row>
    <row r="3776" spans="6:6" x14ac:dyDescent="0.3">
      <c r="F3776" s="190"/>
    </row>
    <row r="3777" spans="6:6" x14ac:dyDescent="0.3">
      <c r="F3777" s="190"/>
    </row>
    <row r="3778" spans="6:6" x14ac:dyDescent="0.3">
      <c r="F3778" s="190"/>
    </row>
    <row r="3779" spans="6:6" x14ac:dyDescent="0.3">
      <c r="F3779" s="190"/>
    </row>
    <row r="3780" spans="6:6" x14ac:dyDescent="0.3">
      <c r="F3780" s="190"/>
    </row>
    <row r="3781" spans="6:6" x14ac:dyDescent="0.3">
      <c r="F3781" s="190"/>
    </row>
    <row r="3782" spans="6:6" x14ac:dyDescent="0.3">
      <c r="F3782" s="190"/>
    </row>
    <row r="3783" spans="6:6" x14ac:dyDescent="0.3">
      <c r="F3783" s="190"/>
    </row>
    <row r="3784" spans="6:6" x14ac:dyDescent="0.3">
      <c r="F3784" s="190"/>
    </row>
    <row r="3785" spans="6:6" x14ac:dyDescent="0.3">
      <c r="F3785" s="190"/>
    </row>
    <row r="3786" spans="6:6" x14ac:dyDescent="0.3">
      <c r="F3786" s="190"/>
    </row>
    <row r="3787" spans="6:6" x14ac:dyDescent="0.3">
      <c r="F3787" s="190"/>
    </row>
    <row r="3788" spans="6:6" x14ac:dyDescent="0.3">
      <c r="F3788" s="190"/>
    </row>
    <row r="3789" spans="6:6" x14ac:dyDescent="0.3">
      <c r="F3789" s="190"/>
    </row>
    <row r="3790" spans="6:6" x14ac:dyDescent="0.3">
      <c r="F3790" s="190"/>
    </row>
    <row r="3791" spans="6:6" x14ac:dyDescent="0.3">
      <c r="F3791" s="190"/>
    </row>
    <row r="3792" spans="6:6" x14ac:dyDescent="0.3">
      <c r="F3792" s="190"/>
    </row>
    <row r="3793" spans="6:6" x14ac:dyDescent="0.3">
      <c r="F3793" s="190"/>
    </row>
    <row r="3794" spans="6:6" x14ac:dyDescent="0.3">
      <c r="F3794" s="190"/>
    </row>
    <row r="3795" spans="6:6" x14ac:dyDescent="0.3">
      <c r="F3795" s="190"/>
    </row>
    <row r="3796" spans="6:6" x14ac:dyDescent="0.3">
      <c r="F3796" s="190"/>
    </row>
    <row r="3797" spans="6:6" x14ac:dyDescent="0.3">
      <c r="F3797" s="190"/>
    </row>
    <row r="3798" spans="6:6" x14ac:dyDescent="0.3">
      <c r="F3798" s="190"/>
    </row>
    <row r="3799" spans="6:6" x14ac:dyDescent="0.3">
      <c r="F3799" s="190"/>
    </row>
    <row r="3800" spans="6:6" x14ac:dyDescent="0.3">
      <c r="F3800" s="190"/>
    </row>
    <row r="3801" spans="6:6" x14ac:dyDescent="0.3">
      <c r="F3801" s="190"/>
    </row>
    <row r="3802" spans="6:6" x14ac:dyDescent="0.3">
      <c r="F3802" s="190"/>
    </row>
    <row r="3803" spans="6:6" x14ac:dyDescent="0.3">
      <c r="F3803" s="190"/>
    </row>
    <row r="3804" spans="6:6" x14ac:dyDescent="0.3">
      <c r="F3804" s="190"/>
    </row>
    <row r="3805" spans="6:6" x14ac:dyDescent="0.3">
      <c r="F3805" s="190"/>
    </row>
    <row r="3806" spans="6:6" x14ac:dyDescent="0.3">
      <c r="F3806" s="190"/>
    </row>
    <row r="3807" spans="6:6" x14ac:dyDescent="0.3">
      <c r="F3807" s="190"/>
    </row>
    <row r="3808" spans="6:6" x14ac:dyDescent="0.3">
      <c r="F3808" s="190"/>
    </row>
    <row r="3809" spans="6:6" x14ac:dyDescent="0.3">
      <c r="F3809" s="190"/>
    </row>
    <row r="3810" spans="6:6" x14ac:dyDescent="0.3">
      <c r="F3810" s="190"/>
    </row>
    <row r="3811" spans="6:6" x14ac:dyDescent="0.3">
      <c r="F3811" s="190"/>
    </row>
    <row r="3812" spans="6:6" x14ac:dyDescent="0.3">
      <c r="F3812" s="190"/>
    </row>
    <row r="3813" spans="6:6" x14ac:dyDescent="0.3">
      <c r="F3813" s="190"/>
    </row>
    <row r="3814" spans="6:6" x14ac:dyDescent="0.3">
      <c r="F3814" s="190"/>
    </row>
    <row r="3815" spans="6:6" x14ac:dyDescent="0.3">
      <c r="F3815" s="190"/>
    </row>
    <row r="3816" spans="6:6" x14ac:dyDescent="0.3">
      <c r="F3816" s="190"/>
    </row>
    <row r="3817" spans="6:6" x14ac:dyDescent="0.3">
      <c r="F3817" s="190"/>
    </row>
    <row r="3818" spans="6:6" x14ac:dyDescent="0.3">
      <c r="F3818" s="190"/>
    </row>
    <row r="3819" spans="6:6" x14ac:dyDescent="0.3">
      <c r="F3819" s="190"/>
    </row>
    <row r="3820" spans="6:6" x14ac:dyDescent="0.3">
      <c r="F3820" s="190"/>
    </row>
    <row r="3821" spans="6:6" x14ac:dyDescent="0.3">
      <c r="F3821" s="190"/>
    </row>
    <row r="3822" spans="6:6" x14ac:dyDescent="0.3">
      <c r="F3822" s="190"/>
    </row>
    <row r="3823" spans="6:6" x14ac:dyDescent="0.3">
      <c r="F3823" s="190"/>
    </row>
    <row r="3824" spans="6:6" x14ac:dyDescent="0.3">
      <c r="F3824" s="190"/>
    </row>
    <row r="3825" spans="6:6" x14ac:dyDescent="0.3">
      <c r="F3825" s="190"/>
    </row>
    <row r="3826" spans="6:6" x14ac:dyDescent="0.3">
      <c r="F3826" s="190"/>
    </row>
    <row r="3827" spans="6:6" x14ac:dyDescent="0.3">
      <c r="F3827" s="190"/>
    </row>
    <row r="3828" spans="6:6" x14ac:dyDescent="0.3">
      <c r="F3828" s="190"/>
    </row>
    <row r="3829" spans="6:6" x14ac:dyDescent="0.3">
      <c r="F3829" s="190"/>
    </row>
    <row r="3830" spans="6:6" x14ac:dyDescent="0.3">
      <c r="F3830" s="190"/>
    </row>
    <row r="3831" spans="6:6" x14ac:dyDescent="0.3">
      <c r="F3831" s="190"/>
    </row>
    <row r="3832" spans="6:6" x14ac:dyDescent="0.3">
      <c r="F3832" s="190"/>
    </row>
    <row r="3833" spans="6:6" x14ac:dyDescent="0.3">
      <c r="F3833" s="190"/>
    </row>
    <row r="3834" spans="6:6" x14ac:dyDescent="0.3">
      <c r="F3834" s="190"/>
    </row>
    <row r="3835" spans="6:6" x14ac:dyDescent="0.3">
      <c r="F3835" s="190"/>
    </row>
    <row r="3836" spans="6:6" x14ac:dyDescent="0.3">
      <c r="F3836" s="190"/>
    </row>
    <row r="3837" spans="6:6" x14ac:dyDescent="0.3">
      <c r="F3837" s="190"/>
    </row>
    <row r="3838" spans="6:6" x14ac:dyDescent="0.3">
      <c r="F3838" s="190"/>
    </row>
    <row r="3839" spans="6:6" x14ac:dyDescent="0.3">
      <c r="F3839" s="190"/>
    </row>
    <row r="3840" spans="6:6" x14ac:dyDescent="0.3">
      <c r="F3840" s="190"/>
    </row>
    <row r="3841" spans="6:6" x14ac:dyDescent="0.3">
      <c r="F3841" s="190"/>
    </row>
    <row r="3842" spans="6:6" x14ac:dyDescent="0.3">
      <c r="F3842" s="190"/>
    </row>
    <row r="3843" spans="6:6" x14ac:dyDescent="0.3">
      <c r="F3843" s="190"/>
    </row>
    <row r="3844" spans="6:6" x14ac:dyDescent="0.3">
      <c r="F3844" s="190"/>
    </row>
    <row r="3845" spans="6:6" x14ac:dyDescent="0.3">
      <c r="F3845" s="190"/>
    </row>
    <row r="3846" spans="6:6" x14ac:dyDescent="0.3">
      <c r="F3846" s="190"/>
    </row>
    <row r="3847" spans="6:6" x14ac:dyDescent="0.3">
      <c r="F3847" s="190"/>
    </row>
    <row r="3848" spans="6:6" x14ac:dyDescent="0.3">
      <c r="F3848" s="190"/>
    </row>
    <row r="3849" spans="6:6" x14ac:dyDescent="0.3">
      <c r="F3849" s="190"/>
    </row>
    <row r="3850" spans="6:6" x14ac:dyDescent="0.3">
      <c r="F3850" s="190"/>
    </row>
    <row r="3851" spans="6:6" x14ac:dyDescent="0.3">
      <c r="F3851" s="190"/>
    </row>
    <row r="3852" spans="6:6" x14ac:dyDescent="0.3">
      <c r="F3852" s="190"/>
    </row>
    <row r="3853" spans="6:6" x14ac:dyDescent="0.3">
      <c r="F3853" s="190"/>
    </row>
    <row r="3854" spans="6:6" x14ac:dyDescent="0.3">
      <c r="F3854" s="190"/>
    </row>
    <row r="3855" spans="6:6" x14ac:dyDescent="0.3">
      <c r="F3855" s="190"/>
    </row>
    <row r="3856" spans="6:6" x14ac:dyDescent="0.3">
      <c r="F3856" s="190"/>
    </row>
    <row r="3857" spans="6:6" x14ac:dyDescent="0.3">
      <c r="F3857" s="190"/>
    </row>
    <row r="3858" spans="6:6" x14ac:dyDescent="0.3">
      <c r="F3858" s="190"/>
    </row>
    <row r="3859" spans="6:6" x14ac:dyDescent="0.3">
      <c r="F3859" s="190"/>
    </row>
    <row r="3860" spans="6:6" x14ac:dyDescent="0.3">
      <c r="F3860" s="190"/>
    </row>
    <row r="3861" spans="6:6" x14ac:dyDescent="0.3">
      <c r="F3861" s="190"/>
    </row>
    <row r="3862" spans="6:6" x14ac:dyDescent="0.3">
      <c r="F3862" s="190"/>
    </row>
    <row r="3863" spans="6:6" x14ac:dyDescent="0.3">
      <c r="F3863" s="190"/>
    </row>
    <row r="3864" spans="6:6" x14ac:dyDescent="0.3">
      <c r="F3864" s="190"/>
    </row>
    <row r="3865" spans="6:6" x14ac:dyDescent="0.3">
      <c r="F3865" s="190"/>
    </row>
    <row r="3866" spans="6:6" x14ac:dyDescent="0.3">
      <c r="F3866" s="190"/>
    </row>
    <row r="3867" spans="6:6" x14ac:dyDescent="0.3">
      <c r="F3867" s="190"/>
    </row>
    <row r="3868" spans="6:6" x14ac:dyDescent="0.3">
      <c r="F3868" s="190"/>
    </row>
    <row r="3869" spans="6:6" x14ac:dyDescent="0.3">
      <c r="F3869" s="190"/>
    </row>
    <row r="3870" spans="6:6" x14ac:dyDescent="0.3">
      <c r="F3870" s="190"/>
    </row>
    <row r="3871" spans="6:6" x14ac:dyDescent="0.3">
      <c r="F3871" s="190"/>
    </row>
    <row r="3872" spans="6:6" x14ac:dyDescent="0.3">
      <c r="F3872" s="190"/>
    </row>
    <row r="3873" spans="6:6" x14ac:dyDescent="0.3">
      <c r="F3873" s="190"/>
    </row>
    <row r="3874" spans="6:6" x14ac:dyDescent="0.3">
      <c r="F3874" s="190"/>
    </row>
    <row r="3875" spans="6:6" x14ac:dyDescent="0.3">
      <c r="F3875" s="190"/>
    </row>
    <row r="3876" spans="6:6" x14ac:dyDescent="0.3">
      <c r="F3876" s="190"/>
    </row>
    <row r="3877" spans="6:6" x14ac:dyDescent="0.3">
      <c r="F3877" s="190"/>
    </row>
    <row r="3878" spans="6:6" x14ac:dyDescent="0.3">
      <c r="F3878" s="190"/>
    </row>
    <row r="3879" spans="6:6" x14ac:dyDescent="0.3">
      <c r="F3879" s="190"/>
    </row>
    <row r="3880" spans="6:6" x14ac:dyDescent="0.3">
      <c r="F3880" s="190"/>
    </row>
    <row r="3881" spans="6:6" x14ac:dyDescent="0.3">
      <c r="F3881" s="190"/>
    </row>
    <row r="3882" spans="6:6" x14ac:dyDescent="0.3">
      <c r="F3882" s="190"/>
    </row>
    <row r="3883" spans="6:6" x14ac:dyDescent="0.3">
      <c r="F3883" s="190"/>
    </row>
    <row r="3884" spans="6:6" x14ac:dyDescent="0.3">
      <c r="F3884" s="190"/>
    </row>
    <row r="3885" spans="6:6" x14ac:dyDescent="0.3">
      <c r="F3885" s="190"/>
    </row>
    <row r="3886" spans="6:6" x14ac:dyDescent="0.3">
      <c r="F3886" s="190"/>
    </row>
    <row r="3887" spans="6:6" x14ac:dyDescent="0.3">
      <c r="F3887" s="190"/>
    </row>
    <row r="3888" spans="6:6" x14ac:dyDescent="0.3">
      <c r="F3888" s="190"/>
    </row>
    <row r="3889" spans="6:6" x14ac:dyDescent="0.3">
      <c r="F3889" s="190"/>
    </row>
    <row r="3890" spans="6:6" x14ac:dyDescent="0.3">
      <c r="F3890" s="190"/>
    </row>
    <row r="3891" spans="6:6" x14ac:dyDescent="0.3">
      <c r="F3891" s="190"/>
    </row>
    <row r="3892" spans="6:6" x14ac:dyDescent="0.3">
      <c r="F3892" s="190"/>
    </row>
    <row r="3893" spans="6:6" x14ac:dyDescent="0.3">
      <c r="F3893" s="190"/>
    </row>
    <row r="3894" spans="6:6" x14ac:dyDescent="0.3">
      <c r="F3894" s="190"/>
    </row>
    <row r="3895" spans="6:6" x14ac:dyDescent="0.3">
      <c r="F3895" s="190"/>
    </row>
    <row r="3896" spans="6:6" x14ac:dyDescent="0.3">
      <c r="F3896" s="190"/>
    </row>
    <row r="3897" spans="6:6" x14ac:dyDescent="0.3">
      <c r="F3897" s="190"/>
    </row>
    <row r="3898" spans="6:6" x14ac:dyDescent="0.3">
      <c r="F3898" s="190"/>
    </row>
    <row r="3899" spans="6:6" x14ac:dyDescent="0.3">
      <c r="F3899" s="190"/>
    </row>
    <row r="3900" spans="6:6" x14ac:dyDescent="0.3">
      <c r="F3900" s="190"/>
    </row>
    <row r="3901" spans="6:6" x14ac:dyDescent="0.3">
      <c r="F3901" s="190"/>
    </row>
    <row r="3902" spans="6:6" x14ac:dyDescent="0.3">
      <c r="F3902" s="190"/>
    </row>
    <row r="3903" spans="6:6" x14ac:dyDescent="0.3">
      <c r="F3903" s="190"/>
    </row>
    <row r="3904" spans="6:6" x14ac:dyDescent="0.3">
      <c r="F3904" s="190"/>
    </row>
    <row r="3905" spans="6:6" x14ac:dyDescent="0.3">
      <c r="F3905" s="190"/>
    </row>
    <row r="3906" spans="6:6" x14ac:dyDescent="0.3">
      <c r="F3906" s="190"/>
    </row>
    <row r="3907" spans="6:6" x14ac:dyDescent="0.3">
      <c r="F3907" s="190"/>
    </row>
    <row r="3908" spans="6:6" x14ac:dyDescent="0.3">
      <c r="F3908" s="190"/>
    </row>
    <row r="3909" spans="6:6" x14ac:dyDescent="0.3">
      <c r="F3909" s="190"/>
    </row>
    <row r="3910" spans="6:6" x14ac:dyDescent="0.3">
      <c r="F3910" s="190"/>
    </row>
    <row r="3911" spans="6:6" x14ac:dyDescent="0.3">
      <c r="F3911" s="190"/>
    </row>
    <row r="3912" spans="6:6" x14ac:dyDescent="0.3">
      <c r="F3912" s="190"/>
    </row>
    <row r="3913" spans="6:6" x14ac:dyDescent="0.3">
      <c r="F3913" s="190"/>
    </row>
    <row r="3914" spans="6:6" x14ac:dyDescent="0.3">
      <c r="F3914" s="190"/>
    </row>
    <row r="3915" spans="6:6" x14ac:dyDescent="0.3">
      <c r="F3915" s="190"/>
    </row>
    <row r="3916" spans="6:6" x14ac:dyDescent="0.3">
      <c r="F3916" s="190"/>
    </row>
    <row r="3917" spans="6:6" x14ac:dyDescent="0.3">
      <c r="F3917" s="190"/>
    </row>
    <row r="3918" spans="6:6" x14ac:dyDescent="0.3">
      <c r="F3918" s="190"/>
    </row>
    <row r="3919" spans="6:6" x14ac:dyDescent="0.3">
      <c r="F3919" s="190"/>
    </row>
    <row r="3920" spans="6:6" x14ac:dyDescent="0.3">
      <c r="F3920" s="190"/>
    </row>
    <row r="3921" spans="6:6" x14ac:dyDescent="0.3">
      <c r="F3921" s="190"/>
    </row>
    <row r="3922" spans="6:6" x14ac:dyDescent="0.3">
      <c r="F3922" s="190"/>
    </row>
    <row r="3923" spans="6:6" x14ac:dyDescent="0.3">
      <c r="F3923" s="190"/>
    </row>
    <row r="3924" spans="6:6" x14ac:dyDescent="0.3">
      <c r="F3924" s="190"/>
    </row>
    <row r="3925" spans="6:6" x14ac:dyDescent="0.3">
      <c r="F3925" s="190"/>
    </row>
    <row r="3926" spans="6:6" x14ac:dyDescent="0.3">
      <c r="F3926" s="190"/>
    </row>
    <row r="3927" spans="6:6" x14ac:dyDescent="0.3">
      <c r="F3927" s="190"/>
    </row>
    <row r="3928" spans="6:6" x14ac:dyDescent="0.3">
      <c r="F3928" s="190"/>
    </row>
    <row r="3929" spans="6:6" x14ac:dyDescent="0.3">
      <c r="F3929" s="190"/>
    </row>
    <row r="3930" spans="6:6" x14ac:dyDescent="0.3">
      <c r="F3930" s="190"/>
    </row>
    <row r="3931" spans="6:6" x14ac:dyDescent="0.3">
      <c r="F3931" s="190"/>
    </row>
    <row r="3932" spans="6:6" x14ac:dyDescent="0.3">
      <c r="F3932" s="190"/>
    </row>
    <row r="3933" spans="6:6" x14ac:dyDescent="0.3">
      <c r="F3933" s="190"/>
    </row>
    <row r="3934" spans="6:6" x14ac:dyDescent="0.3">
      <c r="F3934" s="190"/>
    </row>
    <row r="3935" spans="6:6" x14ac:dyDescent="0.3">
      <c r="F3935" s="190"/>
    </row>
    <row r="3936" spans="6:6" x14ac:dyDescent="0.3">
      <c r="F3936" s="190"/>
    </row>
    <row r="3937" spans="6:6" x14ac:dyDescent="0.3">
      <c r="F3937" s="190"/>
    </row>
    <row r="3938" spans="6:6" x14ac:dyDescent="0.3">
      <c r="F3938" s="190"/>
    </row>
    <row r="3939" spans="6:6" x14ac:dyDescent="0.3">
      <c r="F3939" s="190"/>
    </row>
    <row r="3940" spans="6:6" x14ac:dyDescent="0.3">
      <c r="F3940" s="190"/>
    </row>
    <row r="3941" spans="6:6" x14ac:dyDescent="0.3">
      <c r="F3941" s="190"/>
    </row>
    <row r="3942" spans="6:6" x14ac:dyDescent="0.3">
      <c r="F3942" s="190"/>
    </row>
    <row r="3943" spans="6:6" x14ac:dyDescent="0.3">
      <c r="F3943" s="190"/>
    </row>
    <row r="3944" spans="6:6" x14ac:dyDescent="0.3">
      <c r="F3944" s="190"/>
    </row>
    <row r="3945" spans="6:6" x14ac:dyDescent="0.3">
      <c r="F3945" s="190"/>
    </row>
    <row r="3946" spans="6:6" x14ac:dyDescent="0.3">
      <c r="F3946" s="190"/>
    </row>
    <row r="3947" spans="6:6" x14ac:dyDescent="0.3">
      <c r="F3947" s="190"/>
    </row>
    <row r="3948" spans="6:6" x14ac:dyDescent="0.3">
      <c r="F3948" s="190"/>
    </row>
    <row r="3949" spans="6:6" x14ac:dyDescent="0.3">
      <c r="F3949" s="190"/>
    </row>
    <row r="3950" spans="6:6" x14ac:dyDescent="0.3">
      <c r="F3950" s="190"/>
    </row>
    <row r="3951" spans="6:6" x14ac:dyDescent="0.3">
      <c r="F3951" s="190"/>
    </row>
    <row r="3952" spans="6:6" x14ac:dyDescent="0.3">
      <c r="F3952" s="190"/>
    </row>
    <row r="3953" spans="6:6" x14ac:dyDescent="0.3">
      <c r="F3953" s="190"/>
    </row>
    <row r="3954" spans="6:6" x14ac:dyDescent="0.3">
      <c r="F3954" s="190"/>
    </row>
    <row r="3955" spans="6:6" x14ac:dyDescent="0.3">
      <c r="F3955" s="190"/>
    </row>
    <row r="3956" spans="6:6" x14ac:dyDescent="0.3">
      <c r="F3956" s="190"/>
    </row>
    <row r="3957" spans="6:6" x14ac:dyDescent="0.3">
      <c r="F3957" s="190"/>
    </row>
    <row r="3958" spans="6:6" x14ac:dyDescent="0.3">
      <c r="F3958" s="190"/>
    </row>
    <row r="3959" spans="6:6" x14ac:dyDescent="0.3">
      <c r="F3959" s="190"/>
    </row>
    <row r="3960" spans="6:6" x14ac:dyDescent="0.3">
      <c r="F3960" s="190"/>
    </row>
    <row r="3961" spans="6:6" x14ac:dyDescent="0.3">
      <c r="F3961" s="190"/>
    </row>
    <row r="3962" spans="6:6" x14ac:dyDescent="0.3">
      <c r="F3962" s="190"/>
    </row>
    <row r="3963" spans="6:6" x14ac:dyDescent="0.3">
      <c r="F3963" s="190"/>
    </row>
    <row r="3964" spans="6:6" x14ac:dyDescent="0.3">
      <c r="F3964" s="190"/>
    </row>
    <row r="3965" spans="6:6" x14ac:dyDescent="0.3">
      <c r="F3965" s="190"/>
    </row>
    <row r="3966" spans="6:6" x14ac:dyDescent="0.3">
      <c r="F3966" s="190"/>
    </row>
    <row r="3967" spans="6:6" x14ac:dyDescent="0.3">
      <c r="F3967" s="190"/>
    </row>
    <row r="3968" spans="6:6" x14ac:dyDescent="0.3">
      <c r="F3968" s="190"/>
    </row>
    <row r="3969" spans="6:6" x14ac:dyDescent="0.3">
      <c r="F3969" s="190"/>
    </row>
    <row r="3970" spans="6:6" x14ac:dyDescent="0.3">
      <c r="F3970" s="190"/>
    </row>
    <row r="3971" spans="6:6" x14ac:dyDescent="0.3">
      <c r="F3971" s="190"/>
    </row>
    <row r="3972" spans="6:6" x14ac:dyDescent="0.3">
      <c r="F3972" s="190"/>
    </row>
    <row r="3973" spans="6:6" x14ac:dyDescent="0.3">
      <c r="F3973" s="190"/>
    </row>
    <row r="3974" spans="6:6" x14ac:dyDescent="0.3">
      <c r="F3974" s="190"/>
    </row>
    <row r="3975" spans="6:6" x14ac:dyDescent="0.3">
      <c r="F3975" s="190"/>
    </row>
    <row r="3976" spans="6:6" x14ac:dyDescent="0.3">
      <c r="F3976" s="190"/>
    </row>
    <row r="3977" spans="6:6" x14ac:dyDescent="0.3">
      <c r="F3977" s="190"/>
    </row>
    <row r="3978" spans="6:6" x14ac:dyDescent="0.3">
      <c r="F3978" s="190"/>
    </row>
    <row r="3979" spans="6:6" x14ac:dyDescent="0.3">
      <c r="F3979" s="190"/>
    </row>
    <row r="3980" spans="6:6" x14ac:dyDescent="0.3">
      <c r="F3980" s="190"/>
    </row>
    <row r="3981" spans="6:6" x14ac:dyDescent="0.3">
      <c r="F3981" s="190"/>
    </row>
    <row r="3982" spans="6:6" x14ac:dyDescent="0.3">
      <c r="F3982" s="190"/>
    </row>
    <row r="3983" spans="6:6" x14ac:dyDescent="0.3">
      <c r="F3983" s="190"/>
    </row>
    <row r="3984" spans="6:6" x14ac:dyDescent="0.3">
      <c r="F3984" s="190"/>
    </row>
    <row r="3985" spans="6:6" x14ac:dyDescent="0.3">
      <c r="F3985" s="190"/>
    </row>
    <row r="3986" spans="6:6" x14ac:dyDescent="0.3">
      <c r="F3986" s="190"/>
    </row>
    <row r="3987" spans="6:6" x14ac:dyDescent="0.3">
      <c r="F3987" s="190"/>
    </row>
    <row r="3988" spans="6:6" x14ac:dyDescent="0.3">
      <c r="F3988" s="190"/>
    </row>
    <row r="3989" spans="6:6" x14ac:dyDescent="0.3">
      <c r="F3989" s="190"/>
    </row>
    <row r="3990" spans="6:6" x14ac:dyDescent="0.3">
      <c r="F3990" s="190"/>
    </row>
    <row r="3991" spans="6:6" x14ac:dyDescent="0.3">
      <c r="F3991" s="190"/>
    </row>
    <row r="3992" spans="6:6" x14ac:dyDescent="0.3">
      <c r="F3992" s="190"/>
    </row>
    <row r="3993" spans="6:6" x14ac:dyDescent="0.3">
      <c r="F3993" s="190"/>
    </row>
    <row r="3994" spans="6:6" x14ac:dyDescent="0.3">
      <c r="F3994" s="190"/>
    </row>
    <row r="3995" spans="6:6" x14ac:dyDescent="0.3">
      <c r="F3995" s="190"/>
    </row>
    <row r="3996" spans="6:6" x14ac:dyDescent="0.3">
      <c r="F3996" s="190"/>
    </row>
    <row r="3997" spans="6:6" x14ac:dyDescent="0.3">
      <c r="F3997" s="190"/>
    </row>
    <row r="3998" spans="6:6" x14ac:dyDescent="0.3">
      <c r="F3998" s="190"/>
    </row>
    <row r="3999" spans="6:6" x14ac:dyDescent="0.3">
      <c r="F3999" s="190"/>
    </row>
    <row r="4000" spans="6:6" x14ac:dyDescent="0.3">
      <c r="F4000" s="190"/>
    </row>
    <row r="4001" spans="6:6" x14ac:dyDescent="0.3">
      <c r="F4001" s="190"/>
    </row>
    <row r="4002" spans="6:6" x14ac:dyDescent="0.3">
      <c r="F4002" s="190"/>
    </row>
    <row r="4003" spans="6:6" x14ac:dyDescent="0.3">
      <c r="F4003" s="190"/>
    </row>
    <row r="4004" spans="6:6" x14ac:dyDescent="0.3">
      <c r="F4004" s="190"/>
    </row>
    <row r="4005" spans="6:6" x14ac:dyDescent="0.3">
      <c r="F4005" s="190"/>
    </row>
    <row r="4006" spans="6:6" x14ac:dyDescent="0.3">
      <c r="F4006" s="190"/>
    </row>
    <row r="4007" spans="6:6" x14ac:dyDescent="0.3">
      <c r="F4007" s="190"/>
    </row>
    <row r="4008" spans="6:6" x14ac:dyDescent="0.3">
      <c r="F4008" s="190"/>
    </row>
    <row r="4009" spans="6:6" x14ac:dyDescent="0.3">
      <c r="F4009" s="190"/>
    </row>
    <row r="4010" spans="6:6" x14ac:dyDescent="0.3">
      <c r="F4010" s="190"/>
    </row>
    <row r="4011" spans="6:6" x14ac:dyDescent="0.3">
      <c r="F4011" s="190"/>
    </row>
    <row r="4012" spans="6:6" x14ac:dyDescent="0.3">
      <c r="F4012" s="190"/>
    </row>
    <row r="4013" spans="6:6" x14ac:dyDescent="0.3">
      <c r="F4013" s="190"/>
    </row>
    <row r="4014" spans="6:6" x14ac:dyDescent="0.3">
      <c r="F4014" s="190"/>
    </row>
    <row r="4015" spans="6:6" x14ac:dyDescent="0.3">
      <c r="F4015" s="190"/>
    </row>
    <row r="4016" spans="6:6" x14ac:dyDescent="0.3">
      <c r="F4016" s="190"/>
    </row>
    <row r="4017" spans="6:6" x14ac:dyDescent="0.3">
      <c r="F4017" s="190"/>
    </row>
    <row r="4018" spans="6:6" x14ac:dyDescent="0.3">
      <c r="F4018" s="190"/>
    </row>
    <row r="4019" spans="6:6" x14ac:dyDescent="0.3">
      <c r="F4019" s="190"/>
    </row>
    <row r="4020" spans="6:6" x14ac:dyDescent="0.3">
      <c r="F4020" s="190"/>
    </row>
    <row r="4021" spans="6:6" x14ac:dyDescent="0.3">
      <c r="F4021" s="190"/>
    </row>
    <row r="4022" spans="6:6" x14ac:dyDescent="0.3">
      <c r="F4022" s="190"/>
    </row>
    <row r="4023" spans="6:6" x14ac:dyDescent="0.3">
      <c r="F4023" s="190"/>
    </row>
    <row r="4024" spans="6:6" x14ac:dyDescent="0.3">
      <c r="F4024" s="190"/>
    </row>
    <row r="4025" spans="6:6" x14ac:dyDescent="0.3">
      <c r="F4025" s="190"/>
    </row>
    <row r="4026" spans="6:6" x14ac:dyDescent="0.3">
      <c r="F4026" s="190"/>
    </row>
    <row r="4027" spans="6:6" x14ac:dyDescent="0.3">
      <c r="F4027" s="190"/>
    </row>
    <row r="4028" spans="6:6" x14ac:dyDescent="0.3">
      <c r="F4028" s="190"/>
    </row>
    <row r="4029" spans="6:6" x14ac:dyDescent="0.3">
      <c r="F4029" s="190"/>
    </row>
    <row r="4030" spans="6:6" x14ac:dyDescent="0.3">
      <c r="F4030" s="190"/>
    </row>
    <row r="4031" spans="6:6" x14ac:dyDescent="0.3">
      <c r="F4031" s="190"/>
    </row>
    <row r="4032" spans="6:6" x14ac:dyDescent="0.3">
      <c r="F4032" s="190"/>
    </row>
    <row r="4033" spans="6:6" x14ac:dyDescent="0.3">
      <c r="F4033" s="190"/>
    </row>
    <row r="4034" spans="6:6" x14ac:dyDescent="0.3">
      <c r="F4034" s="190"/>
    </row>
    <row r="4035" spans="6:6" x14ac:dyDescent="0.3">
      <c r="F4035" s="190"/>
    </row>
    <row r="4036" spans="6:6" x14ac:dyDescent="0.3">
      <c r="F4036" s="190"/>
    </row>
    <row r="4037" spans="6:6" x14ac:dyDescent="0.3">
      <c r="F4037" s="190"/>
    </row>
    <row r="4038" spans="6:6" x14ac:dyDescent="0.3">
      <c r="F4038" s="190"/>
    </row>
    <row r="4039" spans="6:6" x14ac:dyDescent="0.3">
      <c r="F4039" s="190"/>
    </row>
    <row r="4040" spans="6:6" x14ac:dyDescent="0.3">
      <c r="F4040" s="190"/>
    </row>
    <row r="4041" spans="6:6" x14ac:dyDescent="0.3">
      <c r="F4041" s="190"/>
    </row>
    <row r="4042" spans="6:6" x14ac:dyDescent="0.3">
      <c r="F4042" s="190"/>
    </row>
    <row r="4043" spans="6:6" x14ac:dyDescent="0.3">
      <c r="F4043" s="190"/>
    </row>
    <row r="4044" spans="6:6" x14ac:dyDescent="0.3">
      <c r="F4044" s="190"/>
    </row>
    <row r="4045" spans="6:6" x14ac:dyDescent="0.3">
      <c r="F4045" s="190"/>
    </row>
    <row r="4046" spans="6:6" x14ac:dyDescent="0.3">
      <c r="F4046" s="190"/>
    </row>
    <row r="4047" spans="6:6" x14ac:dyDescent="0.3">
      <c r="F4047" s="190"/>
    </row>
    <row r="4048" spans="6:6" x14ac:dyDescent="0.3">
      <c r="F4048" s="190"/>
    </row>
    <row r="4049" spans="6:6" x14ac:dyDescent="0.3">
      <c r="F4049" s="190"/>
    </row>
    <row r="4050" spans="6:6" x14ac:dyDescent="0.3">
      <c r="F4050" s="190"/>
    </row>
    <row r="4051" spans="6:6" x14ac:dyDescent="0.3">
      <c r="F4051" s="190"/>
    </row>
    <row r="4052" spans="6:6" x14ac:dyDescent="0.3">
      <c r="F4052" s="190"/>
    </row>
    <row r="4053" spans="6:6" x14ac:dyDescent="0.3">
      <c r="F4053" s="190"/>
    </row>
    <row r="4054" spans="6:6" x14ac:dyDescent="0.3">
      <c r="F4054" s="190"/>
    </row>
    <row r="4055" spans="6:6" x14ac:dyDescent="0.3">
      <c r="F4055" s="190"/>
    </row>
    <row r="4056" spans="6:6" x14ac:dyDescent="0.3">
      <c r="F4056" s="190"/>
    </row>
    <row r="4057" spans="6:6" x14ac:dyDescent="0.3">
      <c r="F4057" s="190"/>
    </row>
    <row r="4058" spans="6:6" x14ac:dyDescent="0.3">
      <c r="F4058" s="190"/>
    </row>
    <row r="4059" spans="6:6" x14ac:dyDescent="0.3">
      <c r="F4059" s="190"/>
    </row>
    <row r="4060" spans="6:6" x14ac:dyDescent="0.3">
      <c r="F4060" s="190"/>
    </row>
    <row r="4061" spans="6:6" x14ac:dyDescent="0.3">
      <c r="F4061" s="190"/>
    </row>
    <row r="4062" spans="6:6" x14ac:dyDescent="0.3">
      <c r="F4062" s="190"/>
    </row>
    <row r="4063" spans="6:6" x14ac:dyDescent="0.3">
      <c r="F4063" s="190"/>
    </row>
    <row r="4064" spans="6:6" x14ac:dyDescent="0.3">
      <c r="F4064" s="190"/>
    </row>
    <row r="4065" spans="6:6" x14ac:dyDescent="0.3">
      <c r="F4065" s="190"/>
    </row>
    <row r="4066" spans="6:6" x14ac:dyDescent="0.3">
      <c r="F4066" s="190"/>
    </row>
    <row r="4067" spans="6:6" x14ac:dyDescent="0.3">
      <c r="F4067" s="190"/>
    </row>
    <row r="4068" spans="6:6" x14ac:dyDescent="0.3">
      <c r="F4068" s="190"/>
    </row>
    <row r="4069" spans="6:6" x14ac:dyDescent="0.3">
      <c r="F4069" s="190"/>
    </row>
    <row r="4070" spans="6:6" x14ac:dyDescent="0.3">
      <c r="F4070" s="190"/>
    </row>
    <row r="4071" spans="6:6" x14ac:dyDescent="0.3">
      <c r="F4071" s="190"/>
    </row>
    <row r="4072" spans="6:6" x14ac:dyDescent="0.3">
      <c r="F4072" s="190"/>
    </row>
    <row r="4073" spans="6:6" x14ac:dyDescent="0.3">
      <c r="F4073" s="190"/>
    </row>
    <row r="4074" spans="6:6" x14ac:dyDescent="0.3">
      <c r="F4074" s="190"/>
    </row>
    <row r="4075" spans="6:6" x14ac:dyDescent="0.3">
      <c r="F4075" s="190"/>
    </row>
    <row r="4076" spans="6:6" x14ac:dyDescent="0.3">
      <c r="F4076" s="190"/>
    </row>
    <row r="4077" spans="6:6" x14ac:dyDescent="0.3">
      <c r="F4077" s="190"/>
    </row>
    <row r="4078" spans="6:6" x14ac:dyDescent="0.3">
      <c r="F4078" s="190"/>
    </row>
    <row r="4079" spans="6:6" x14ac:dyDescent="0.3">
      <c r="F4079" s="190"/>
    </row>
    <row r="4080" spans="6:6" x14ac:dyDescent="0.3">
      <c r="F4080" s="190"/>
    </row>
    <row r="4081" spans="6:6" x14ac:dyDescent="0.3">
      <c r="F4081" s="190"/>
    </row>
    <row r="4082" spans="6:6" x14ac:dyDescent="0.3">
      <c r="F4082" s="190"/>
    </row>
    <row r="4083" spans="6:6" x14ac:dyDescent="0.3">
      <c r="F4083" s="190"/>
    </row>
    <row r="4084" spans="6:6" x14ac:dyDescent="0.3">
      <c r="F4084" s="190"/>
    </row>
    <row r="4085" spans="6:6" x14ac:dyDescent="0.3">
      <c r="F4085" s="190"/>
    </row>
    <row r="4086" spans="6:6" x14ac:dyDescent="0.3">
      <c r="F4086" s="190"/>
    </row>
    <row r="4087" spans="6:6" x14ac:dyDescent="0.3">
      <c r="F4087" s="190"/>
    </row>
    <row r="4088" spans="6:6" x14ac:dyDescent="0.3">
      <c r="F4088" s="190"/>
    </row>
    <row r="4089" spans="6:6" x14ac:dyDescent="0.3">
      <c r="F4089" s="190"/>
    </row>
    <row r="4090" spans="6:6" x14ac:dyDescent="0.3">
      <c r="F4090" s="190"/>
    </row>
    <row r="4091" spans="6:6" x14ac:dyDescent="0.3">
      <c r="F4091" s="190"/>
    </row>
    <row r="4092" spans="6:6" x14ac:dyDescent="0.3">
      <c r="F4092" s="190"/>
    </row>
    <row r="4093" spans="6:6" x14ac:dyDescent="0.3">
      <c r="F4093" s="190"/>
    </row>
    <row r="4094" spans="6:6" x14ac:dyDescent="0.3">
      <c r="F4094" s="190"/>
    </row>
    <row r="4095" spans="6:6" x14ac:dyDescent="0.3">
      <c r="F4095" s="190"/>
    </row>
    <row r="4096" spans="6:6" x14ac:dyDescent="0.3">
      <c r="F4096" s="190"/>
    </row>
    <row r="4097" spans="6:6" x14ac:dyDescent="0.3">
      <c r="F4097" s="190"/>
    </row>
    <row r="4098" spans="6:6" x14ac:dyDescent="0.3">
      <c r="F4098" s="190"/>
    </row>
    <row r="4099" spans="6:6" x14ac:dyDescent="0.3">
      <c r="F4099" s="190"/>
    </row>
    <row r="4100" spans="6:6" x14ac:dyDescent="0.3">
      <c r="F4100" s="190"/>
    </row>
    <row r="4101" spans="6:6" x14ac:dyDescent="0.3">
      <c r="F4101" s="190"/>
    </row>
    <row r="4102" spans="6:6" x14ac:dyDescent="0.3">
      <c r="F4102" s="190"/>
    </row>
    <row r="4103" spans="6:6" x14ac:dyDescent="0.3">
      <c r="F4103" s="190"/>
    </row>
    <row r="4104" spans="6:6" x14ac:dyDescent="0.3">
      <c r="F4104" s="190"/>
    </row>
    <row r="4105" spans="6:6" x14ac:dyDescent="0.3">
      <c r="F4105" s="190"/>
    </row>
    <row r="4106" spans="6:6" x14ac:dyDescent="0.3">
      <c r="F4106" s="190"/>
    </row>
    <row r="4107" spans="6:6" x14ac:dyDescent="0.3">
      <c r="F4107" s="190"/>
    </row>
    <row r="4108" spans="6:6" x14ac:dyDescent="0.3">
      <c r="F4108" s="190"/>
    </row>
    <row r="4109" spans="6:6" x14ac:dyDescent="0.3">
      <c r="F4109" s="190"/>
    </row>
    <row r="4110" spans="6:6" x14ac:dyDescent="0.3">
      <c r="F4110" s="190"/>
    </row>
    <row r="4111" spans="6:6" x14ac:dyDescent="0.3">
      <c r="F4111" s="190"/>
    </row>
    <row r="4112" spans="6:6" x14ac:dyDescent="0.3">
      <c r="F4112" s="190"/>
    </row>
    <row r="4113" spans="6:6" x14ac:dyDescent="0.3">
      <c r="F4113" s="190"/>
    </row>
    <row r="4114" spans="6:6" x14ac:dyDescent="0.3">
      <c r="F4114" s="190"/>
    </row>
    <row r="4115" spans="6:6" x14ac:dyDescent="0.3">
      <c r="F4115" s="190"/>
    </row>
    <row r="4116" spans="6:6" x14ac:dyDescent="0.3">
      <c r="F4116" s="190"/>
    </row>
    <row r="4117" spans="6:6" x14ac:dyDescent="0.3">
      <c r="F4117" s="190"/>
    </row>
    <row r="4118" spans="6:6" x14ac:dyDescent="0.3">
      <c r="F4118" s="190"/>
    </row>
    <row r="4119" spans="6:6" x14ac:dyDescent="0.3">
      <c r="F4119" s="190"/>
    </row>
    <row r="4120" spans="6:6" x14ac:dyDescent="0.3">
      <c r="F4120" s="190"/>
    </row>
    <row r="4121" spans="6:6" x14ac:dyDescent="0.3">
      <c r="F4121" s="190"/>
    </row>
    <row r="4122" spans="6:6" x14ac:dyDescent="0.3">
      <c r="F4122" s="190"/>
    </row>
    <row r="4123" spans="6:6" x14ac:dyDescent="0.3">
      <c r="F4123" s="190"/>
    </row>
    <row r="4124" spans="6:6" x14ac:dyDescent="0.3">
      <c r="F4124" s="190"/>
    </row>
    <row r="4125" spans="6:6" x14ac:dyDescent="0.3">
      <c r="F4125" s="190"/>
    </row>
    <row r="4126" spans="6:6" x14ac:dyDescent="0.3">
      <c r="F4126" s="190"/>
    </row>
    <row r="4127" spans="6:6" x14ac:dyDescent="0.3">
      <c r="F4127" s="190"/>
    </row>
    <row r="4128" spans="6:6" x14ac:dyDescent="0.3">
      <c r="F4128" s="190"/>
    </row>
    <row r="4129" spans="6:6" x14ac:dyDescent="0.3">
      <c r="F4129" s="190"/>
    </row>
    <row r="4130" spans="6:6" x14ac:dyDescent="0.3">
      <c r="F4130" s="190"/>
    </row>
    <row r="4131" spans="6:6" x14ac:dyDescent="0.3">
      <c r="F4131" s="190"/>
    </row>
    <row r="4132" spans="6:6" x14ac:dyDescent="0.3">
      <c r="F4132" s="190"/>
    </row>
    <row r="4133" spans="6:6" x14ac:dyDescent="0.3">
      <c r="F4133" s="190"/>
    </row>
    <row r="4134" spans="6:6" x14ac:dyDescent="0.3">
      <c r="F4134" s="190"/>
    </row>
    <row r="4135" spans="6:6" x14ac:dyDescent="0.3">
      <c r="F4135" s="190"/>
    </row>
    <row r="4136" spans="6:6" x14ac:dyDescent="0.3">
      <c r="F4136" s="190"/>
    </row>
    <row r="4137" spans="6:6" x14ac:dyDescent="0.3">
      <c r="F4137" s="190"/>
    </row>
    <row r="4138" spans="6:6" x14ac:dyDescent="0.3">
      <c r="F4138" s="190"/>
    </row>
    <row r="4139" spans="6:6" x14ac:dyDescent="0.3">
      <c r="F4139" s="190"/>
    </row>
    <row r="4140" spans="6:6" x14ac:dyDescent="0.3">
      <c r="F4140" s="190"/>
    </row>
    <row r="4141" spans="6:6" x14ac:dyDescent="0.3">
      <c r="F4141" s="190"/>
    </row>
    <row r="4142" spans="6:6" x14ac:dyDescent="0.3">
      <c r="F4142" s="190"/>
    </row>
    <row r="4143" spans="6:6" x14ac:dyDescent="0.3">
      <c r="F4143" s="190"/>
    </row>
    <row r="4144" spans="6:6" x14ac:dyDescent="0.3">
      <c r="F4144" s="190"/>
    </row>
    <row r="4145" spans="6:6" x14ac:dyDescent="0.3">
      <c r="F4145" s="190"/>
    </row>
    <row r="4146" spans="6:6" x14ac:dyDescent="0.3">
      <c r="F4146" s="190"/>
    </row>
    <row r="4147" spans="6:6" x14ac:dyDescent="0.3">
      <c r="F4147" s="190"/>
    </row>
    <row r="4148" spans="6:6" x14ac:dyDescent="0.3">
      <c r="F4148" s="190"/>
    </row>
    <row r="4149" spans="6:6" x14ac:dyDescent="0.3">
      <c r="F4149" s="190"/>
    </row>
    <row r="4150" spans="6:6" x14ac:dyDescent="0.3">
      <c r="F4150" s="190"/>
    </row>
    <row r="4151" spans="6:6" x14ac:dyDescent="0.3">
      <c r="F4151" s="190"/>
    </row>
    <row r="4152" spans="6:6" x14ac:dyDescent="0.3">
      <c r="F4152" s="190"/>
    </row>
    <row r="4153" spans="6:6" x14ac:dyDescent="0.3">
      <c r="F4153" s="190"/>
    </row>
    <row r="4154" spans="6:6" x14ac:dyDescent="0.3">
      <c r="F4154" s="190"/>
    </row>
    <row r="4155" spans="6:6" x14ac:dyDescent="0.3">
      <c r="F4155" s="190"/>
    </row>
    <row r="4156" spans="6:6" x14ac:dyDescent="0.3">
      <c r="F4156" s="190"/>
    </row>
    <row r="4157" spans="6:6" x14ac:dyDescent="0.3">
      <c r="F4157" s="190"/>
    </row>
    <row r="4158" spans="6:6" x14ac:dyDescent="0.3">
      <c r="F4158" s="190"/>
    </row>
    <row r="4159" spans="6:6" x14ac:dyDescent="0.3">
      <c r="F4159" s="190"/>
    </row>
    <row r="4160" spans="6:6" x14ac:dyDescent="0.3">
      <c r="F4160" s="190"/>
    </row>
    <row r="4161" spans="6:6" x14ac:dyDescent="0.3">
      <c r="F4161" s="190"/>
    </row>
    <row r="4162" spans="6:6" x14ac:dyDescent="0.3">
      <c r="F4162" s="190"/>
    </row>
    <row r="4163" spans="6:6" x14ac:dyDescent="0.3">
      <c r="F4163" s="190"/>
    </row>
    <row r="4164" spans="6:6" x14ac:dyDescent="0.3">
      <c r="F4164" s="190"/>
    </row>
    <row r="4165" spans="6:6" x14ac:dyDescent="0.3">
      <c r="F4165" s="190"/>
    </row>
    <row r="4166" spans="6:6" x14ac:dyDescent="0.3">
      <c r="F4166" s="190"/>
    </row>
    <row r="4167" spans="6:6" x14ac:dyDescent="0.3">
      <c r="F4167" s="190"/>
    </row>
    <row r="4168" spans="6:6" x14ac:dyDescent="0.3">
      <c r="F4168" s="190"/>
    </row>
    <row r="4169" spans="6:6" x14ac:dyDescent="0.3">
      <c r="F4169" s="190"/>
    </row>
    <row r="4170" spans="6:6" x14ac:dyDescent="0.3">
      <c r="F4170" s="190"/>
    </row>
    <row r="4171" spans="6:6" x14ac:dyDescent="0.3">
      <c r="F4171" s="190"/>
    </row>
    <row r="4172" spans="6:6" x14ac:dyDescent="0.3">
      <c r="F4172" s="190"/>
    </row>
    <row r="4173" spans="6:6" x14ac:dyDescent="0.3">
      <c r="F4173" s="190"/>
    </row>
    <row r="4174" spans="6:6" x14ac:dyDescent="0.3">
      <c r="F4174" s="190"/>
    </row>
    <row r="4175" spans="6:6" x14ac:dyDescent="0.3">
      <c r="F4175" s="190"/>
    </row>
    <row r="4176" spans="6:6" x14ac:dyDescent="0.3">
      <c r="F4176" s="190"/>
    </row>
    <row r="4177" spans="6:6" x14ac:dyDescent="0.3">
      <c r="F4177" s="190"/>
    </row>
    <row r="4178" spans="6:6" x14ac:dyDescent="0.3">
      <c r="F4178" s="190"/>
    </row>
    <row r="4179" spans="6:6" x14ac:dyDescent="0.3">
      <c r="F4179" s="190"/>
    </row>
    <row r="4180" spans="6:6" x14ac:dyDescent="0.3">
      <c r="F4180" s="190"/>
    </row>
    <row r="4181" spans="6:6" x14ac:dyDescent="0.3">
      <c r="F4181" s="190"/>
    </row>
    <row r="4182" spans="6:6" x14ac:dyDescent="0.3">
      <c r="F4182" s="190"/>
    </row>
    <row r="4183" spans="6:6" x14ac:dyDescent="0.3">
      <c r="F4183" s="190"/>
    </row>
    <row r="4184" spans="6:6" x14ac:dyDescent="0.3">
      <c r="F4184" s="190"/>
    </row>
    <row r="4185" spans="6:6" x14ac:dyDescent="0.3">
      <c r="F4185" s="190"/>
    </row>
    <row r="4186" spans="6:6" x14ac:dyDescent="0.3">
      <c r="F4186" s="190"/>
    </row>
    <row r="4187" spans="6:6" x14ac:dyDescent="0.3">
      <c r="F4187" s="190"/>
    </row>
    <row r="4188" spans="6:6" x14ac:dyDescent="0.3">
      <c r="F4188" s="190"/>
    </row>
    <row r="4189" spans="6:6" x14ac:dyDescent="0.3">
      <c r="F4189" s="190"/>
    </row>
    <row r="4190" spans="6:6" x14ac:dyDescent="0.3">
      <c r="F4190" s="190"/>
    </row>
    <row r="4191" spans="6:6" x14ac:dyDescent="0.3">
      <c r="F4191" s="190"/>
    </row>
    <row r="4192" spans="6:6" x14ac:dyDescent="0.3">
      <c r="F4192" s="190"/>
    </row>
    <row r="4193" spans="6:6" x14ac:dyDescent="0.3">
      <c r="F4193" s="190"/>
    </row>
    <row r="4194" spans="6:6" x14ac:dyDescent="0.3">
      <c r="F4194" s="190"/>
    </row>
    <row r="4195" spans="6:6" x14ac:dyDescent="0.3">
      <c r="F4195" s="190"/>
    </row>
    <row r="4196" spans="6:6" x14ac:dyDescent="0.3">
      <c r="F4196" s="190"/>
    </row>
    <row r="4197" spans="6:6" x14ac:dyDescent="0.3">
      <c r="F4197" s="190"/>
    </row>
    <row r="4198" spans="6:6" x14ac:dyDescent="0.3">
      <c r="F4198" s="190"/>
    </row>
    <row r="4199" spans="6:6" x14ac:dyDescent="0.3">
      <c r="F4199" s="190"/>
    </row>
    <row r="4200" spans="6:6" x14ac:dyDescent="0.3">
      <c r="F4200" s="190"/>
    </row>
    <row r="4201" spans="6:6" x14ac:dyDescent="0.3">
      <c r="F4201" s="190"/>
    </row>
    <row r="4202" spans="6:6" x14ac:dyDescent="0.3">
      <c r="F4202" s="190"/>
    </row>
    <row r="4203" spans="6:6" x14ac:dyDescent="0.3">
      <c r="F4203" s="190"/>
    </row>
    <row r="4204" spans="6:6" x14ac:dyDescent="0.3">
      <c r="F4204" s="190"/>
    </row>
    <row r="4205" spans="6:6" x14ac:dyDescent="0.3">
      <c r="F4205" s="190"/>
    </row>
    <row r="4206" spans="6:6" x14ac:dyDescent="0.3">
      <c r="F4206" s="190"/>
    </row>
    <row r="4207" spans="6:6" x14ac:dyDescent="0.3">
      <c r="F4207" s="190"/>
    </row>
    <row r="4208" spans="6:6" x14ac:dyDescent="0.3">
      <c r="F4208" s="190"/>
    </row>
    <row r="4209" spans="6:6" x14ac:dyDescent="0.3">
      <c r="F4209" s="190"/>
    </row>
    <row r="4210" spans="6:6" x14ac:dyDescent="0.3">
      <c r="F4210" s="190"/>
    </row>
    <row r="4211" spans="6:6" x14ac:dyDescent="0.3">
      <c r="F4211" s="190"/>
    </row>
    <row r="4212" spans="6:6" x14ac:dyDescent="0.3">
      <c r="F4212" s="190"/>
    </row>
    <row r="4213" spans="6:6" x14ac:dyDescent="0.3">
      <c r="F4213" s="190"/>
    </row>
    <row r="4214" spans="6:6" x14ac:dyDescent="0.3">
      <c r="F4214" s="190"/>
    </row>
    <row r="4215" spans="6:6" x14ac:dyDescent="0.3">
      <c r="F4215" s="190"/>
    </row>
    <row r="4216" spans="6:6" x14ac:dyDescent="0.3">
      <c r="F4216" s="190"/>
    </row>
    <row r="4217" spans="6:6" x14ac:dyDescent="0.3">
      <c r="F4217" s="190"/>
    </row>
    <row r="4218" spans="6:6" x14ac:dyDescent="0.3">
      <c r="F4218" s="190"/>
    </row>
    <row r="4219" spans="6:6" x14ac:dyDescent="0.3">
      <c r="F4219" s="190"/>
    </row>
    <row r="4220" spans="6:6" x14ac:dyDescent="0.3">
      <c r="F4220" s="190"/>
    </row>
    <row r="4221" spans="6:6" x14ac:dyDescent="0.3">
      <c r="F4221" s="190"/>
    </row>
    <row r="4222" spans="6:6" x14ac:dyDescent="0.3">
      <c r="F4222" s="190"/>
    </row>
    <row r="4223" spans="6:6" x14ac:dyDescent="0.3">
      <c r="F4223" s="190"/>
    </row>
    <row r="4224" spans="6:6" x14ac:dyDescent="0.3">
      <c r="F4224" s="190"/>
    </row>
    <row r="4225" spans="6:6" x14ac:dyDescent="0.3">
      <c r="F4225" s="190"/>
    </row>
    <row r="4226" spans="6:6" x14ac:dyDescent="0.3">
      <c r="F4226" s="190"/>
    </row>
    <row r="4227" spans="6:6" x14ac:dyDescent="0.3">
      <c r="F4227" s="190"/>
    </row>
    <row r="4228" spans="6:6" x14ac:dyDescent="0.3">
      <c r="F4228" s="190"/>
    </row>
    <row r="4229" spans="6:6" x14ac:dyDescent="0.3">
      <c r="F4229" s="190"/>
    </row>
    <row r="4230" spans="6:6" x14ac:dyDescent="0.3">
      <c r="F4230" s="190"/>
    </row>
    <row r="4231" spans="6:6" x14ac:dyDescent="0.3">
      <c r="F4231" s="190"/>
    </row>
    <row r="4232" spans="6:6" x14ac:dyDescent="0.3">
      <c r="F4232" s="190"/>
    </row>
    <row r="4233" spans="6:6" x14ac:dyDescent="0.3">
      <c r="F4233" s="190"/>
    </row>
    <row r="4234" spans="6:6" x14ac:dyDescent="0.3">
      <c r="F4234" s="190"/>
    </row>
    <row r="4235" spans="6:6" x14ac:dyDescent="0.3">
      <c r="F4235" s="190"/>
    </row>
    <row r="4236" spans="6:6" x14ac:dyDescent="0.3">
      <c r="F4236" s="190"/>
    </row>
    <row r="4237" spans="6:6" x14ac:dyDescent="0.3">
      <c r="F4237" s="190"/>
    </row>
    <row r="4238" spans="6:6" x14ac:dyDescent="0.3">
      <c r="F4238" s="190"/>
    </row>
    <row r="4239" spans="6:6" x14ac:dyDescent="0.3">
      <c r="F4239" s="190"/>
    </row>
    <row r="4240" spans="6:6" x14ac:dyDescent="0.3">
      <c r="F4240" s="190"/>
    </row>
    <row r="4241" spans="6:6" x14ac:dyDescent="0.3">
      <c r="F4241" s="190"/>
    </row>
    <row r="4242" spans="6:6" x14ac:dyDescent="0.3">
      <c r="F4242" s="190"/>
    </row>
    <row r="4243" spans="6:6" x14ac:dyDescent="0.3">
      <c r="F4243" s="190"/>
    </row>
    <row r="4244" spans="6:6" x14ac:dyDescent="0.3">
      <c r="F4244" s="190"/>
    </row>
    <row r="4245" spans="6:6" x14ac:dyDescent="0.3">
      <c r="F4245" s="190"/>
    </row>
    <row r="4246" spans="6:6" x14ac:dyDescent="0.3">
      <c r="F4246" s="190"/>
    </row>
    <row r="4247" spans="6:6" x14ac:dyDescent="0.3">
      <c r="F4247" s="190"/>
    </row>
    <row r="4248" spans="6:6" x14ac:dyDescent="0.3">
      <c r="F4248" s="190"/>
    </row>
    <row r="4249" spans="6:6" x14ac:dyDescent="0.3">
      <c r="F4249" s="190"/>
    </row>
    <row r="4250" spans="6:6" x14ac:dyDescent="0.3">
      <c r="F4250" s="190"/>
    </row>
    <row r="4251" spans="6:6" x14ac:dyDescent="0.3">
      <c r="F4251" s="190"/>
    </row>
    <row r="4252" spans="6:6" x14ac:dyDescent="0.3">
      <c r="F4252" s="190"/>
    </row>
    <row r="4253" spans="6:6" x14ac:dyDescent="0.3">
      <c r="F4253" s="190"/>
    </row>
    <row r="4254" spans="6:6" x14ac:dyDescent="0.3">
      <c r="F4254" s="190"/>
    </row>
    <row r="4255" spans="6:6" x14ac:dyDescent="0.3">
      <c r="F4255" s="190"/>
    </row>
    <row r="4256" spans="6:6" x14ac:dyDescent="0.3">
      <c r="F4256" s="190"/>
    </row>
    <row r="4257" spans="6:6" x14ac:dyDescent="0.3">
      <c r="F4257" s="190"/>
    </row>
    <row r="4258" spans="6:6" x14ac:dyDescent="0.3">
      <c r="F4258" s="190"/>
    </row>
    <row r="4259" spans="6:6" x14ac:dyDescent="0.3">
      <c r="F4259" s="190"/>
    </row>
    <row r="4260" spans="6:6" x14ac:dyDescent="0.3">
      <c r="F4260" s="190"/>
    </row>
    <row r="4261" spans="6:6" x14ac:dyDescent="0.3">
      <c r="F4261" s="190"/>
    </row>
    <row r="4262" spans="6:6" x14ac:dyDescent="0.3">
      <c r="F4262" s="190"/>
    </row>
    <row r="4263" spans="6:6" x14ac:dyDescent="0.3">
      <c r="F4263" s="190"/>
    </row>
    <row r="4264" spans="6:6" x14ac:dyDescent="0.3">
      <c r="F4264" s="190"/>
    </row>
    <row r="4265" spans="6:6" x14ac:dyDescent="0.3">
      <c r="F4265" s="190"/>
    </row>
    <row r="4266" spans="6:6" x14ac:dyDescent="0.3">
      <c r="F4266" s="190"/>
    </row>
    <row r="4267" spans="6:6" x14ac:dyDescent="0.3">
      <c r="F4267" s="190"/>
    </row>
    <row r="4268" spans="6:6" x14ac:dyDescent="0.3">
      <c r="F4268" s="190"/>
    </row>
    <row r="4269" spans="6:6" x14ac:dyDescent="0.3">
      <c r="F4269" s="190"/>
    </row>
    <row r="4270" spans="6:6" x14ac:dyDescent="0.3">
      <c r="F4270" s="190"/>
    </row>
    <row r="4271" spans="6:6" x14ac:dyDescent="0.3">
      <c r="F4271" s="190"/>
    </row>
    <row r="4272" spans="6:6" x14ac:dyDescent="0.3">
      <c r="F4272" s="190"/>
    </row>
    <row r="4273" spans="6:6" x14ac:dyDescent="0.3">
      <c r="F4273" s="190"/>
    </row>
    <row r="4274" spans="6:6" x14ac:dyDescent="0.3">
      <c r="F4274" s="190"/>
    </row>
    <row r="4275" spans="6:6" x14ac:dyDescent="0.3">
      <c r="F4275" s="190"/>
    </row>
    <row r="4276" spans="6:6" x14ac:dyDescent="0.3">
      <c r="F4276" s="190"/>
    </row>
    <row r="4277" spans="6:6" x14ac:dyDescent="0.3">
      <c r="F4277" s="190"/>
    </row>
    <row r="4278" spans="6:6" x14ac:dyDescent="0.3">
      <c r="F4278" s="190"/>
    </row>
    <row r="4279" spans="6:6" x14ac:dyDescent="0.3">
      <c r="F4279" s="190"/>
    </row>
    <row r="4280" spans="6:6" x14ac:dyDescent="0.3">
      <c r="F4280" s="190"/>
    </row>
    <row r="4281" spans="6:6" x14ac:dyDescent="0.3">
      <c r="F4281" s="190"/>
    </row>
    <row r="4282" spans="6:6" x14ac:dyDescent="0.3">
      <c r="F4282" s="190"/>
    </row>
    <row r="4283" spans="6:6" x14ac:dyDescent="0.3">
      <c r="F4283" s="190"/>
    </row>
    <row r="4284" spans="6:6" x14ac:dyDescent="0.3">
      <c r="F4284" s="190"/>
    </row>
    <row r="4285" spans="6:6" x14ac:dyDescent="0.3">
      <c r="F4285" s="190"/>
    </row>
    <row r="4286" spans="6:6" x14ac:dyDescent="0.3">
      <c r="F4286" s="190"/>
    </row>
    <row r="4287" spans="6:6" x14ac:dyDescent="0.3">
      <c r="F4287" s="190"/>
    </row>
    <row r="4288" spans="6:6" x14ac:dyDescent="0.3">
      <c r="F4288" s="190"/>
    </row>
    <row r="4289" spans="6:6" x14ac:dyDescent="0.3">
      <c r="F4289" s="190"/>
    </row>
    <row r="4290" spans="6:6" x14ac:dyDescent="0.3">
      <c r="F4290" s="190"/>
    </row>
    <row r="4291" spans="6:6" x14ac:dyDescent="0.3">
      <c r="F4291" s="190"/>
    </row>
    <row r="4292" spans="6:6" x14ac:dyDescent="0.3">
      <c r="F4292" s="190"/>
    </row>
    <row r="4293" spans="6:6" x14ac:dyDescent="0.3">
      <c r="F4293" s="190"/>
    </row>
    <row r="4294" spans="6:6" x14ac:dyDescent="0.3">
      <c r="F4294" s="190"/>
    </row>
    <row r="4295" spans="6:6" x14ac:dyDescent="0.3">
      <c r="F4295" s="190"/>
    </row>
    <row r="4296" spans="6:6" x14ac:dyDescent="0.3">
      <c r="F4296" s="190"/>
    </row>
    <row r="4297" spans="6:6" x14ac:dyDescent="0.3">
      <c r="F4297" s="190"/>
    </row>
    <row r="4298" spans="6:6" x14ac:dyDescent="0.3">
      <c r="F4298" s="190"/>
    </row>
    <row r="4299" spans="6:6" x14ac:dyDescent="0.3">
      <c r="F4299" s="190"/>
    </row>
    <row r="4300" spans="6:6" x14ac:dyDescent="0.3">
      <c r="F4300" s="190"/>
    </row>
    <row r="4301" spans="6:6" x14ac:dyDescent="0.3">
      <c r="F4301" s="190"/>
    </row>
    <row r="4302" spans="6:6" x14ac:dyDescent="0.3">
      <c r="F4302" s="190"/>
    </row>
    <row r="4303" spans="6:6" x14ac:dyDescent="0.3">
      <c r="F4303" s="190"/>
    </row>
    <row r="4304" spans="6:6" x14ac:dyDescent="0.3">
      <c r="F4304" s="190"/>
    </row>
    <row r="4305" spans="6:6" x14ac:dyDescent="0.3">
      <c r="F4305" s="190"/>
    </row>
    <row r="4306" spans="6:6" x14ac:dyDescent="0.3">
      <c r="F4306" s="190"/>
    </row>
    <row r="4307" spans="6:6" x14ac:dyDescent="0.3">
      <c r="F4307" s="190"/>
    </row>
    <row r="4308" spans="6:6" x14ac:dyDescent="0.3">
      <c r="F4308" s="190"/>
    </row>
    <row r="4309" spans="6:6" x14ac:dyDescent="0.3">
      <c r="F4309" s="190"/>
    </row>
    <row r="4310" spans="6:6" x14ac:dyDescent="0.3">
      <c r="F4310" s="190"/>
    </row>
    <row r="4311" spans="6:6" x14ac:dyDescent="0.3">
      <c r="F4311" s="190"/>
    </row>
    <row r="4312" spans="6:6" x14ac:dyDescent="0.3">
      <c r="F4312" s="190"/>
    </row>
    <row r="4313" spans="6:6" x14ac:dyDescent="0.3">
      <c r="F4313" s="190"/>
    </row>
    <row r="4314" spans="6:6" x14ac:dyDescent="0.3">
      <c r="F4314" s="190"/>
    </row>
    <row r="4315" spans="6:6" x14ac:dyDescent="0.3">
      <c r="F4315" s="190"/>
    </row>
    <row r="4316" spans="6:6" x14ac:dyDescent="0.3">
      <c r="F4316" s="190"/>
    </row>
    <row r="4317" spans="6:6" x14ac:dyDescent="0.3">
      <c r="F4317" s="190"/>
    </row>
    <row r="4318" spans="6:6" x14ac:dyDescent="0.3">
      <c r="F4318" s="190"/>
    </row>
    <row r="4319" spans="6:6" x14ac:dyDescent="0.3">
      <c r="F4319" s="190"/>
    </row>
    <row r="4320" spans="6:6" x14ac:dyDescent="0.3">
      <c r="F4320" s="190"/>
    </row>
    <row r="4321" spans="6:6" x14ac:dyDescent="0.3">
      <c r="F4321" s="190"/>
    </row>
    <row r="4322" spans="6:6" x14ac:dyDescent="0.3">
      <c r="F4322" s="190"/>
    </row>
    <row r="4323" spans="6:6" x14ac:dyDescent="0.3">
      <c r="F4323" s="190"/>
    </row>
    <row r="4324" spans="6:6" x14ac:dyDescent="0.3">
      <c r="F4324" s="190"/>
    </row>
    <row r="4325" spans="6:6" x14ac:dyDescent="0.3">
      <c r="F4325" s="190"/>
    </row>
    <row r="4326" spans="6:6" x14ac:dyDescent="0.3">
      <c r="F4326" s="190"/>
    </row>
    <row r="4327" spans="6:6" x14ac:dyDescent="0.3">
      <c r="F4327" s="190"/>
    </row>
    <row r="4328" spans="6:6" x14ac:dyDescent="0.3">
      <c r="F4328" s="190"/>
    </row>
    <row r="4329" spans="6:6" x14ac:dyDescent="0.3">
      <c r="F4329" s="190"/>
    </row>
    <row r="4330" spans="6:6" x14ac:dyDescent="0.3">
      <c r="F4330" s="190"/>
    </row>
    <row r="4331" spans="6:6" x14ac:dyDescent="0.3">
      <c r="F4331" s="190"/>
    </row>
    <row r="4332" spans="6:6" x14ac:dyDescent="0.3">
      <c r="F4332" s="190"/>
    </row>
    <row r="4333" spans="6:6" x14ac:dyDescent="0.3">
      <c r="F4333" s="190"/>
    </row>
    <row r="4334" spans="6:6" x14ac:dyDescent="0.3">
      <c r="F4334" s="190"/>
    </row>
    <row r="4335" spans="6:6" x14ac:dyDescent="0.3">
      <c r="F4335" s="190"/>
    </row>
    <row r="4336" spans="6:6" x14ac:dyDescent="0.3">
      <c r="F4336" s="190"/>
    </row>
    <row r="4337" spans="6:6" x14ac:dyDescent="0.3">
      <c r="F4337" s="190"/>
    </row>
    <row r="4338" spans="6:6" x14ac:dyDescent="0.3">
      <c r="F4338" s="190"/>
    </row>
    <row r="4339" spans="6:6" x14ac:dyDescent="0.3">
      <c r="F4339" s="190"/>
    </row>
    <row r="4340" spans="6:6" x14ac:dyDescent="0.3">
      <c r="F4340" s="190"/>
    </row>
    <row r="4341" spans="6:6" x14ac:dyDescent="0.3">
      <c r="F4341" s="190"/>
    </row>
    <row r="4342" spans="6:6" x14ac:dyDescent="0.3">
      <c r="F4342" s="190"/>
    </row>
    <row r="4343" spans="6:6" x14ac:dyDescent="0.3">
      <c r="F4343" s="190"/>
    </row>
    <row r="4344" spans="6:6" x14ac:dyDescent="0.3">
      <c r="F4344" s="190"/>
    </row>
    <row r="4345" spans="6:6" x14ac:dyDescent="0.3">
      <c r="F4345" s="190"/>
    </row>
    <row r="4346" spans="6:6" x14ac:dyDescent="0.3">
      <c r="F4346" s="190"/>
    </row>
    <row r="4347" spans="6:6" x14ac:dyDescent="0.3">
      <c r="F4347" s="190"/>
    </row>
    <row r="4348" spans="6:6" x14ac:dyDescent="0.3">
      <c r="F4348" s="190"/>
    </row>
    <row r="4349" spans="6:6" x14ac:dyDescent="0.3">
      <c r="F4349" s="190"/>
    </row>
    <row r="4350" spans="6:6" x14ac:dyDescent="0.3">
      <c r="F4350" s="190"/>
    </row>
    <row r="4351" spans="6:6" x14ac:dyDescent="0.3">
      <c r="F4351" s="190"/>
    </row>
    <row r="4352" spans="6:6" x14ac:dyDescent="0.3">
      <c r="F4352" s="190"/>
    </row>
    <row r="4353" spans="6:6" x14ac:dyDescent="0.3">
      <c r="F4353" s="190"/>
    </row>
    <row r="4354" spans="6:6" x14ac:dyDescent="0.3">
      <c r="F4354" s="190"/>
    </row>
    <row r="4355" spans="6:6" x14ac:dyDescent="0.3">
      <c r="F4355" s="190"/>
    </row>
    <row r="4356" spans="6:6" x14ac:dyDescent="0.3">
      <c r="F4356" s="190"/>
    </row>
    <row r="4357" spans="6:6" x14ac:dyDescent="0.3">
      <c r="F4357" s="190"/>
    </row>
    <row r="4358" spans="6:6" x14ac:dyDescent="0.3">
      <c r="F4358" s="190"/>
    </row>
    <row r="4359" spans="6:6" x14ac:dyDescent="0.3">
      <c r="F4359" s="190"/>
    </row>
    <row r="4360" spans="6:6" x14ac:dyDescent="0.3">
      <c r="F4360" s="190"/>
    </row>
    <row r="4361" spans="6:6" x14ac:dyDescent="0.3">
      <c r="F4361" s="190"/>
    </row>
    <row r="4362" spans="6:6" x14ac:dyDescent="0.3">
      <c r="F4362" s="190"/>
    </row>
    <row r="4363" spans="6:6" x14ac:dyDescent="0.3">
      <c r="F4363" s="190"/>
    </row>
    <row r="4364" spans="6:6" x14ac:dyDescent="0.3">
      <c r="F4364" s="190"/>
    </row>
    <row r="4365" spans="6:6" x14ac:dyDescent="0.3">
      <c r="F4365" s="190"/>
    </row>
    <row r="4366" spans="6:6" x14ac:dyDescent="0.3">
      <c r="F4366" s="190"/>
    </row>
    <row r="4367" spans="6:6" x14ac:dyDescent="0.3">
      <c r="F4367" s="190"/>
    </row>
    <row r="4368" spans="6:6" x14ac:dyDescent="0.3">
      <c r="F4368" s="190"/>
    </row>
    <row r="4369" spans="6:6" x14ac:dyDescent="0.3">
      <c r="F4369" s="190"/>
    </row>
    <row r="4370" spans="6:6" x14ac:dyDescent="0.3">
      <c r="F4370" s="190"/>
    </row>
    <row r="4371" spans="6:6" x14ac:dyDescent="0.3">
      <c r="F4371" s="190"/>
    </row>
    <row r="4372" spans="6:6" x14ac:dyDescent="0.3">
      <c r="F4372" s="190"/>
    </row>
    <row r="4373" spans="6:6" x14ac:dyDescent="0.3">
      <c r="F4373" s="190"/>
    </row>
    <row r="4374" spans="6:6" x14ac:dyDescent="0.3">
      <c r="F4374" s="190"/>
    </row>
    <row r="4375" spans="6:6" x14ac:dyDescent="0.3">
      <c r="F4375" s="190"/>
    </row>
    <row r="4376" spans="6:6" x14ac:dyDescent="0.3">
      <c r="F4376" s="190"/>
    </row>
    <row r="4377" spans="6:6" x14ac:dyDescent="0.3">
      <c r="F4377" s="190"/>
    </row>
    <row r="4378" spans="6:6" x14ac:dyDescent="0.3">
      <c r="F4378" s="190"/>
    </row>
    <row r="4379" spans="6:6" x14ac:dyDescent="0.3">
      <c r="F4379" s="190"/>
    </row>
    <row r="4380" spans="6:6" x14ac:dyDescent="0.3">
      <c r="F4380" s="190"/>
    </row>
    <row r="4381" spans="6:6" x14ac:dyDescent="0.3">
      <c r="F4381" s="190"/>
    </row>
    <row r="4382" spans="6:6" x14ac:dyDescent="0.3">
      <c r="F4382" s="190"/>
    </row>
    <row r="4383" spans="6:6" x14ac:dyDescent="0.3">
      <c r="F4383" s="190"/>
    </row>
    <row r="4384" spans="6:6" x14ac:dyDescent="0.3">
      <c r="F4384" s="190"/>
    </row>
    <row r="4385" spans="6:6" x14ac:dyDescent="0.3">
      <c r="F4385" s="190"/>
    </row>
    <row r="4386" spans="6:6" x14ac:dyDescent="0.3">
      <c r="F4386" s="190"/>
    </row>
    <row r="4387" spans="6:6" x14ac:dyDescent="0.3">
      <c r="F4387" s="190"/>
    </row>
    <row r="4388" spans="6:6" x14ac:dyDescent="0.3">
      <c r="F4388" s="190"/>
    </row>
    <row r="4389" spans="6:6" x14ac:dyDescent="0.3">
      <c r="F4389" s="190"/>
    </row>
    <row r="4390" spans="6:6" x14ac:dyDescent="0.3">
      <c r="F4390" s="190"/>
    </row>
    <row r="4391" spans="6:6" x14ac:dyDescent="0.3">
      <c r="F4391" s="190"/>
    </row>
    <row r="4392" spans="6:6" x14ac:dyDescent="0.3">
      <c r="F4392" s="190"/>
    </row>
    <row r="4393" spans="6:6" x14ac:dyDescent="0.3">
      <c r="F4393" s="190"/>
    </row>
    <row r="4394" spans="6:6" x14ac:dyDescent="0.3">
      <c r="F4394" s="190"/>
    </row>
    <row r="4395" spans="6:6" x14ac:dyDescent="0.3">
      <c r="F4395" s="190"/>
    </row>
    <row r="4396" spans="6:6" x14ac:dyDescent="0.3">
      <c r="F4396" s="190"/>
    </row>
    <row r="4397" spans="6:6" x14ac:dyDescent="0.3">
      <c r="F4397" s="190"/>
    </row>
    <row r="4398" spans="6:6" x14ac:dyDescent="0.3">
      <c r="F4398" s="190"/>
    </row>
    <row r="4399" spans="6:6" x14ac:dyDescent="0.3">
      <c r="F4399" s="190"/>
    </row>
    <row r="4400" spans="6:6" x14ac:dyDescent="0.3">
      <c r="F4400" s="190"/>
    </row>
    <row r="4401" spans="6:6" x14ac:dyDescent="0.3">
      <c r="F4401" s="190"/>
    </row>
    <row r="4402" spans="6:6" x14ac:dyDescent="0.3">
      <c r="F4402" s="190"/>
    </row>
    <row r="4403" spans="6:6" x14ac:dyDescent="0.3">
      <c r="F4403" s="190"/>
    </row>
    <row r="4404" spans="6:6" x14ac:dyDescent="0.3">
      <c r="F4404" s="190"/>
    </row>
    <row r="4405" spans="6:6" x14ac:dyDescent="0.3">
      <c r="F4405" s="190"/>
    </row>
    <row r="4406" spans="6:6" x14ac:dyDescent="0.3">
      <c r="F4406" s="190"/>
    </row>
    <row r="4407" spans="6:6" x14ac:dyDescent="0.3">
      <c r="F4407" s="190"/>
    </row>
    <row r="4408" spans="6:6" x14ac:dyDescent="0.3">
      <c r="F4408" s="190"/>
    </row>
    <row r="4409" spans="6:6" x14ac:dyDescent="0.3">
      <c r="F4409" s="190"/>
    </row>
    <row r="4410" spans="6:6" x14ac:dyDescent="0.3">
      <c r="F4410" s="190"/>
    </row>
    <row r="4411" spans="6:6" x14ac:dyDescent="0.3">
      <c r="F4411" s="190"/>
    </row>
    <row r="4412" spans="6:6" x14ac:dyDescent="0.3">
      <c r="F4412" s="190"/>
    </row>
    <row r="4413" spans="6:6" x14ac:dyDescent="0.3">
      <c r="F4413" s="190"/>
    </row>
    <row r="4414" spans="6:6" x14ac:dyDescent="0.3">
      <c r="F4414" s="190"/>
    </row>
    <row r="4415" spans="6:6" x14ac:dyDescent="0.3">
      <c r="F4415" s="190"/>
    </row>
    <row r="4416" spans="6:6" x14ac:dyDescent="0.3">
      <c r="F4416" s="190"/>
    </row>
    <row r="4417" spans="6:6" x14ac:dyDescent="0.3">
      <c r="F4417" s="190"/>
    </row>
    <row r="4418" spans="6:6" x14ac:dyDescent="0.3">
      <c r="F4418" s="190"/>
    </row>
    <row r="4419" spans="6:6" x14ac:dyDescent="0.3">
      <c r="F4419" s="190"/>
    </row>
    <row r="4420" spans="6:6" x14ac:dyDescent="0.3">
      <c r="F4420" s="190"/>
    </row>
    <row r="4421" spans="6:6" x14ac:dyDescent="0.3">
      <c r="F4421" s="190"/>
    </row>
    <row r="4422" spans="6:6" x14ac:dyDescent="0.3">
      <c r="F4422" s="190"/>
    </row>
    <row r="4423" spans="6:6" x14ac:dyDescent="0.3">
      <c r="F4423" s="190"/>
    </row>
    <row r="4424" spans="6:6" x14ac:dyDescent="0.3">
      <c r="F4424" s="190"/>
    </row>
    <row r="4425" spans="6:6" x14ac:dyDescent="0.3">
      <c r="F4425" s="190"/>
    </row>
    <row r="4426" spans="6:6" x14ac:dyDescent="0.3">
      <c r="F4426" s="190"/>
    </row>
    <row r="4427" spans="6:6" x14ac:dyDescent="0.3">
      <c r="F4427" s="190"/>
    </row>
    <row r="4428" spans="6:6" x14ac:dyDescent="0.3">
      <c r="F4428" s="190"/>
    </row>
    <row r="4429" spans="6:6" x14ac:dyDescent="0.3">
      <c r="F4429" s="190"/>
    </row>
    <row r="4430" spans="6:6" x14ac:dyDescent="0.3">
      <c r="F4430" s="190"/>
    </row>
    <row r="4431" spans="6:6" x14ac:dyDescent="0.3">
      <c r="F4431" s="190"/>
    </row>
    <row r="4432" spans="6:6" x14ac:dyDescent="0.3">
      <c r="F4432" s="190"/>
    </row>
    <row r="4433" spans="6:6" x14ac:dyDescent="0.3">
      <c r="F4433" s="190"/>
    </row>
    <row r="4434" spans="6:6" x14ac:dyDescent="0.3">
      <c r="F4434" s="190"/>
    </row>
    <row r="4435" spans="6:6" x14ac:dyDescent="0.3">
      <c r="F4435" s="190"/>
    </row>
    <row r="4436" spans="6:6" x14ac:dyDescent="0.3">
      <c r="F4436" s="190"/>
    </row>
    <row r="4437" spans="6:6" x14ac:dyDescent="0.3">
      <c r="F4437" s="190"/>
    </row>
    <row r="4438" spans="6:6" x14ac:dyDescent="0.3">
      <c r="F4438" s="190"/>
    </row>
    <row r="4439" spans="6:6" x14ac:dyDescent="0.3">
      <c r="F4439" s="190"/>
    </row>
    <row r="4440" spans="6:6" x14ac:dyDescent="0.3">
      <c r="F4440" s="190"/>
    </row>
    <row r="4441" spans="6:6" x14ac:dyDescent="0.3">
      <c r="F4441" s="190"/>
    </row>
    <row r="4442" spans="6:6" x14ac:dyDescent="0.3">
      <c r="F4442" s="190"/>
    </row>
    <row r="4443" spans="6:6" x14ac:dyDescent="0.3">
      <c r="F4443" s="190"/>
    </row>
    <row r="4444" spans="6:6" x14ac:dyDescent="0.3">
      <c r="F4444" s="190"/>
    </row>
    <row r="4445" spans="6:6" x14ac:dyDescent="0.3">
      <c r="F4445" s="190"/>
    </row>
    <row r="4446" spans="6:6" x14ac:dyDescent="0.3">
      <c r="F4446" s="190"/>
    </row>
    <row r="4447" spans="6:6" x14ac:dyDescent="0.3">
      <c r="F4447" s="190"/>
    </row>
    <row r="4448" spans="6:6" x14ac:dyDescent="0.3">
      <c r="F4448" s="190"/>
    </row>
    <row r="4449" spans="6:6" x14ac:dyDescent="0.3">
      <c r="F4449" s="190"/>
    </row>
    <row r="4450" spans="6:6" x14ac:dyDescent="0.3">
      <c r="F4450" s="190"/>
    </row>
    <row r="4451" spans="6:6" x14ac:dyDescent="0.3">
      <c r="F4451" s="190"/>
    </row>
    <row r="4452" spans="6:6" x14ac:dyDescent="0.3">
      <c r="F4452" s="190"/>
    </row>
    <row r="4453" spans="6:6" x14ac:dyDescent="0.3">
      <c r="F4453" s="190"/>
    </row>
    <row r="4454" spans="6:6" x14ac:dyDescent="0.3">
      <c r="F4454" s="190"/>
    </row>
    <row r="4455" spans="6:6" x14ac:dyDescent="0.3">
      <c r="F4455" s="190"/>
    </row>
    <row r="4456" spans="6:6" x14ac:dyDescent="0.3">
      <c r="F4456" s="190"/>
    </row>
    <row r="4457" spans="6:6" x14ac:dyDescent="0.3">
      <c r="F4457" s="190"/>
    </row>
    <row r="4458" spans="6:6" x14ac:dyDescent="0.3">
      <c r="F4458" s="190"/>
    </row>
    <row r="4459" spans="6:6" x14ac:dyDescent="0.3">
      <c r="F4459" s="190"/>
    </row>
    <row r="4460" spans="6:6" x14ac:dyDescent="0.3">
      <c r="F4460" s="190"/>
    </row>
    <row r="4461" spans="6:6" x14ac:dyDescent="0.3">
      <c r="F4461" s="190"/>
    </row>
    <row r="4462" spans="6:6" x14ac:dyDescent="0.3">
      <c r="F4462" s="190"/>
    </row>
    <row r="4463" spans="6:6" x14ac:dyDescent="0.3">
      <c r="F4463" s="190"/>
    </row>
    <row r="4464" spans="6:6" x14ac:dyDescent="0.3">
      <c r="F4464" s="190"/>
    </row>
    <row r="4465" spans="6:6" x14ac:dyDescent="0.3">
      <c r="F4465" s="190"/>
    </row>
    <row r="4466" spans="6:6" x14ac:dyDescent="0.3">
      <c r="F4466" s="190"/>
    </row>
    <row r="4467" spans="6:6" x14ac:dyDescent="0.3">
      <c r="F4467" s="190"/>
    </row>
    <row r="4468" spans="6:6" x14ac:dyDescent="0.3">
      <c r="F4468" s="190"/>
    </row>
    <row r="4469" spans="6:6" x14ac:dyDescent="0.3">
      <c r="F4469" s="190"/>
    </row>
    <row r="4470" spans="6:6" x14ac:dyDescent="0.3">
      <c r="F4470" s="190"/>
    </row>
    <row r="4471" spans="6:6" x14ac:dyDescent="0.3">
      <c r="F4471" s="190"/>
    </row>
    <row r="4472" spans="6:6" x14ac:dyDescent="0.3">
      <c r="F4472" s="190"/>
    </row>
    <row r="4473" spans="6:6" x14ac:dyDescent="0.3">
      <c r="F4473" s="190"/>
    </row>
    <row r="4474" spans="6:6" x14ac:dyDescent="0.3">
      <c r="F4474" s="190"/>
    </row>
    <row r="4475" spans="6:6" x14ac:dyDescent="0.3">
      <c r="F4475" s="190"/>
    </row>
    <row r="4476" spans="6:6" x14ac:dyDescent="0.3">
      <c r="F4476" s="190"/>
    </row>
    <row r="4477" spans="6:6" x14ac:dyDescent="0.3">
      <c r="F4477" s="190"/>
    </row>
    <row r="4478" spans="6:6" x14ac:dyDescent="0.3">
      <c r="F4478" s="190"/>
    </row>
    <row r="4479" spans="6:6" x14ac:dyDescent="0.3">
      <c r="F4479" s="190"/>
    </row>
    <row r="4480" spans="6:6" x14ac:dyDescent="0.3">
      <c r="F4480" s="190"/>
    </row>
    <row r="4481" spans="6:6" x14ac:dyDescent="0.3">
      <c r="F4481" s="190"/>
    </row>
    <row r="4482" spans="6:6" x14ac:dyDescent="0.3">
      <c r="F4482" s="190"/>
    </row>
    <row r="4483" spans="6:6" x14ac:dyDescent="0.3">
      <c r="F4483" s="190"/>
    </row>
    <row r="4484" spans="6:6" x14ac:dyDescent="0.3">
      <c r="F4484" s="190"/>
    </row>
    <row r="4485" spans="6:6" x14ac:dyDescent="0.3">
      <c r="F4485" s="190"/>
    </row>
    <row r="4486" spans="6:6" x14ac:dyDescent="0.3">
      <c r="F4486" s="190"/>
    </row>
    <row r="4487" spans="6:6" x14ac:dyDescent="0.3">
      <c r="F4487" s="190"/>
    </row>
    <row r="4488" spans="6:6" x14ac:dyDescent="0.3">
      <c r="F4488" s="190"/>
    </row>
    <row r="4489" spans="6:6" x14ac:dyDescent="0.3">
      <c r="F4489" s="190"/>
    </row>
    <row r="4490" spans="6:6" x14ac:dyDescent="0.3">
      <c r="F4490" s="190"/>
    </row>
    <row r="4491" spans="6:6" x14ac:dyDescent="0.3">
      <c r="F4491" s="190"/>
    </row>
    <row r="4492" spans="6:6" x14ac:dyDescent="0.3">
      <c r="F4492" s="190"/>
    </row>
    <row r="4493" spans="6:6" x14ac:dyDescent="0.3">
      <c r="F4493" s="190"/>
    </row>
    <row r="4494" spans="6:6" x14ac:dyDescent="0.3">
      <c r="F4494" s="190"/>
    </row>
    <row r="4495" spans="6:6" x14ac:dyDescent="0.3">
      <c r="F4495" s="190"/>
    </row>
    <row r="4496" spans="6:6" x14ac:dyDescent="0.3">
      <c r="F4496" s="190"/>
    </row>
    <row r="4497" spans="6:6" x14ac:dyDescent="0.3">
      <c r="F4497" s="190"/>
    </row>
    <row r="4498" spans="6:6" x14ac:dyDescent="0.3">
      <c r="F4498" s="190"/>
    </row>
    <row r="4499" spans="6:6" x14ac:dyDescent="0.3">
      <c r="F4499" s="190"/>
    </row>
    <row r="4500" spans="6:6" x14ac:dyDescent="0.3">
      <c r="F4500" s="190"/>
    </row>
    <row r="4501" spans="6:6" x14ac:dyDescent="0.3">
      <c r="F4501" s="190"/>
    </row>
    <row r="4502" spans="6:6" x14ac:dyDescent="0.3">
      <c r="F4502" s="190"/>
    </row>
    <row r="4503" spans="6:6" x14ac:dyDescent="0.3">
      <c r="F4503" s="190"/>
    </row>
    <row r="4504" spans="6:6" x14ac:dyDescent="0.3">
      <c r="F4504" s="190"/>
    </row>
    <row r="4505" spans="6:6" x14ac:dyDescent="0.3">
      <c r="F4505" s="190"/>
    </row>
    <row r="4506" spans="6:6" x14ac:dyDescent="0.3">
      <c r="F4506" s="190"/>
    </row>
    <row r="4507" spans="6:6" x14ac:dyDescent="0.3">
      <c r="F4507" s="190"/>
    </row>
    <row r="4508" spans="6:6" x14ac:dyDescent="0.3">
      <c r="F4508" s="190"/>
    </row>
    <row r="4509" spans="6:6" x14ac:dyDescent="0.3">
      <c r="F4509" s="190"/>
    </row>
    <row r="4510" spans="6:6" x14ac:dyDescent="0.3">
      <c r="F4510" s="190"/>
    </row>
    <row r="4511" spans="6:6" x14ac:dyDescent="0.3">
      <c r="F4511" s="190"/>
    </row>
    <row r="4512" spans="6:6" x14ac:dyDescent="0.3">
      <c r="F4512" s="190"/>
    </row>
    <row r="4513" spans="6:6" x14ac:dyDescent="0.3">
      <c r="F4513" s="190"/>
    </row>
    <row r="4514" spans="6:6" x14ac:dyDescent="0.3">
      <c r="F4514" s="190"/>
    </row>
    <row r="4515" spans="6:6" x14ac:dyDescent="0.3">
      <c r="F4515" s="190"/>
    </row>
    <row r="4516" spans="6:6" x14ac:dyDescent="0.3">
      <c r="F4516" s="190"/>
    </row>
    <row r="4517" spans="6:6" x14ac:dyDescent="0.3">
      <c r="F4517" s="190"/>
    </row>
    <row r="4518" spans="6:6" x14ac:dyDescent="0.3">
      <c r="F4518" s="190"/>
    </row>
    <row r="4519" spans="6:6" x14ac:dyDescent="0.3">
      <c r="F4519" s="190"/>
    </row>
    <row r="4520" spans="6:6" x14ac:dyDescent="0.3">
      <c r="F4520" s="190"/>
    </row>
    <row r="4521" spans="6:6" x14ac:dyDescent="0.3">
      <c r="F4521" s="190"/>
    </row>
    <row r="4522" spans="6:6" x14ac:dyDescent="0.3">
      <c r="F4522" s="190"/>
    </row>
    <row r="4523" spans="6:6" x14ac:dyDescent="0.3">
      <c r="F4523" s="190"/>
    </row>
    <row r="4524" spans="6:6" x14ac:dyDescent="0.3">
      <c r="F4524" s="190"/>
    </row>
    <row r="4525" spans="6:6" x14ac:dyDescent="0.3">
      <c r="F4525" s="190"/>
    </row>
    <row r="4526" spans="6:6" x14ac:dyDescent="0.3">
      <c r="F4526" s="190"/>
    </row>
    <row r="4527" spans="6:6" x14ac:dyDescent="0.3">
      <c r="F4527" s="190"/>
    </row>
    <row r="4528" spans="6:6" x14ac:dyDescent="0.3">
      <c r="F4528" s="190"/>
    </row>
    <row r="4529" spans="6:6" x14ac:dyDescent="0.3">
      <c r="F4529" s="190"/>
    </row>
    <row r="4530" spans="6:6" x14ac:dyDescent="0.3">
      <c r="F4530" s="190"/>
    </row>
    <row r="4531" spans="6:6" x14ac:dyDescent="0.3">
      <c r="F4531" s="190"/>
    </row>
    <row r="4532" spans="6:6" x14ac:dyDescent="0.3">
      <c r="F4532" s="190"/>
    </row>
    <row r="4533" spans="6:6" x14ac:dyDescent="0.3">
      <c r="F4533" s="190"/>
    </row>
    <row r="4534" spans="6:6" x14ac:dyDescent="0.3">
      <c r="F4534" s="190"/>
    </row>
    <row r="4535" spans="6:6" x14ac:dyDescent="0.3">
      <c r="F4535" s="190"/>
    </row>
    <row r="4536" spans="6:6" x14ac:dyDescent="0.3">
      <c r="F4536" s="190"/>
    </row>
    <row r="4537" spans="6:6" x14ac:dyDescent="0.3">
      <c r="F4537" s="190"/>
    </row>
    <row r="4538" spans="6:6" x14ac:dyDescent="0.3">
      <c r="F4538" s="190"/>
    </row>
    <row r="4539" spans="6:6" x14ac:dyDescent="0.3">
      <c r="F4539" s="190"/>
    </row>
    <row r="4540" spans="6:6" x14ac:dyDescent="0.3">
      <c r="F4540" s="190"/>
    </row>
    <row r="4541" spans="6:6" x14ac:dyDescent="0.3">
      <c r="F4541" s="190"/>
    </row>
    <row r="4542" spans="6:6" x14ac:dyDescent="0.3">
      <c r="F4542" s="190"/>
    </row>
    <row r="4543" spans="6:6" x14ac:dyDescent="0.3">
      <c r="F4543" s="190"/>
    </row>
    <row r="4544" spans="6:6" x14ac:dyDescent="0.3">
      <c r="F4544" s="190"/>
    </row>
    <row r="4545" spans="6:6" x14ac:dyDescent="0.3">
      <c r="F4545" s="190"/>
    </row>
    <row r="4546" spans="6:6" x14ac:dyDescent="0.3">
      <c r="F4546" s="190"/>
    </row>
    <row r="4547" spans="6:6" x14ac:dyDescent="0.3">
      <c r="F4547" s="190"/>
    </row>
    <row r="4548" spans="6:6" x14ac:dyDescent="0.3">
      <c r="F4548" s="190"/>
    </row>
    <row r="4549" spans="6:6" x14ac:dyDescent="0.3">
      <c r="F4549" s="190"/>
    </row>
    <row r="4550" spans="6:6" x14ac:dyDescent="0.3">
      <c r="F4550" s="190"/>
    </row>
    <row r="4551" spans="6:6" x14ac:dyDescent="0.3">
      <c r="F4551" s="190"/>
    </row>
    <row r="4552" spans="6:6" x14ac:dyDescent="0.3">
      <c r="F4552" s="190"/>
    </row>
    <row r="4553" spans="6:6" x14ac:dyDescent="0.3">
      <c r="F4553" s="190"/>
    </row>
    <row r="4554" spans="6:6" x14ac:dyDescent="0.3">
      <c r="F4554" s="190"/>
    </row>
    <row r="4555" spans="6:6" x14ac:dyDescent="0.3">
      <c r="F4555" s="190"/>
    </row>
    <row r="4556" spans="6:6" x14ac:dyDescent="0.3">
      <c r="F4556" s="190"/>
    </row>
    <row r="4557" spans="6:6" x14ac:dyDescent="0.3">
      <c r="F4557" s="190"/>
    </row>
    <row r="4558" spans="6:6" x14ac:dyDescent="0.3">
      <c r="F4558" s="190"/>
    </row>
    <row r="4559" spans="6:6" x14ac:dyDescent="0.3">
      <c r="F4559" s="190"/>
    </row>
    <row r="4560" spans="6:6" x14ac:dyDescent="0.3">
      <c r="F4560" s="190"/>
    </row>
    <row r="4561" spans="6:6" x14ac:dyDescent="0.3">
      <c r="F4561" s="190"/>
    </row>
    <row r="4562" spans="6:6" x14ac:dyDescent="0.3">
      <c r="F4562" s="190"/>
    </row>
    <row r="4563" spans="6:6" x14ac:dyDescent="0.3">
      <c r="F4563" s="190"/>
    </row>
    <row r="4564" spans="6:6" x14ac:dyDescent="0.3">
      <c r="F4564" s="190"/>
    </row>
    <row r="4565" spans="6:6" x14ac:dyDescent="0.3">
      <c r="F4565" s="190"/>
    </row>
    <row r="4566" spans="6:6" x14ac:dyDescent="0.3">
      <c r="F4566" s="190"/>
    </row>
    <row r="4567" spans="6:6" x14ac:dyDescent="0.3">
      <c r="F4567" s="190"/>
    </row>
    <row r="4568" spans="6:6" x14ac:dyDescent="0.3">
      <c r="F4568" s="190"/>
    </row>
    <row r="4569" spans="6:6" x14ac:dyDescent="0.3">
      <c r="F4569" s="190"/>
    </row>
    <row r="4570" spans="6:6" x14ac:dyDescent="0.3">
      <c r="F4570" s="190"/>
    </row>
    <row r="4571" spans="6:6" x14ac:dyDescent="0.3">
      <c r="F4571" s="190"/>
    </row>
    <row r="4572" spans="6:6" x14ac:dyDescent="0.3">
      <c r="F4572" s="190"/>
    </row>
    <row r="4573" spans="6:6" x14ac:dyDescent="0.3">
      <c r="F4573" s="190"/>
    </row>
    <row r="4574" spans="6:6" x14ac:dyDescent="0.3">
      <c r="F4574" s="190"/>
    </row>
    <row r="4575" spans="6:6" x14ac:dyDescent="0.3">
      <c r="F4575" s="190"/>
    </row>
    <row r="4576" spans="6:6" x14ac:dyDescent="0.3">
      <c r="F4576" s="190"/>
    </row>
    <row r="4577" spans="6:6" x14ac:dyDescent="0.3">
      <c r="F4577" s="190"/>
    </row>
    <row r="4578" spans="6:6" x14ac:dyDescent="0.3">
      <c r="F4578" s="190"/>
    </row>
    <row r="4579" spans="6:6" x14ac:dyDescent="0.3">
      <c r="F4579" s="190"/>
    </row>
    <row r="4580" spans="6:6" x14ac:dyDescent="0.3">
      <c r="F4580" s="190"/>
    </row>
    <row r="4581" spans="6:6" x14ac:dyDescent="0.3">
      <c r="F4581" s="190"/>
    </row>
    <row r="4582" spans="6:6" x14ac:dyDescent="0.3">
      <c r="F4582" s="190"/>
    </row>
    <row r="4583" spans="6:6" x14ac:dyDescent="0.3">
      <c r="F4583" s="190"/>
    </row>
    <row r="4584" spans="6:6" x14ac:dyDescent="0.3">
      <c r="F4584" s="190"/>
    </row>
    <row r="4585" spans="6:6" x14ac:dyDescent="0.3">
      <c r="F4585" s="190"/>
    </row>
    <row r="4586" spans="6:6" x14ac:dyDescent="0.3">
      <c r="F4586" s="190"/>
    </row>
    <row r="4587" spans="6:6" x14ac:dyDescent="0.3">
      <c r="F4587" s="190"/>
    </row>
    <row r="4588" spans="6:6" x14ac:dyDescent="0.3">
      <c r="F4588" s="190"/>
    </row>
    <row r="4589" spans="6:6" x14ac:dyDescent="0.3">
      <c r="F4589" s="190"/>
    </row>
    <row r="4590" spans="6:6" x14ac:dyDescent="0.3">
      <c r="F4590" s="190"/>
    </row>
    <row r="4591" spans="6:6" x14ac:dyDescent="0.3">
      <c r="F4591" s="190"/>
    </row>
    <row r="4592" spans="6:6" x14ac:dyDescent="0.3">
      <c r="F4592" s="190"/>
    </row>
    <row r="4593" spans="6:6" x14ac:dyDescent="0.3">
      <c r="F4593" s="190"/>
    </row>
    <row r="4594" spans="6:6" x14ac:dyDescent="0.3">
      <c r="F4594" s="190"/>
    </row>
    <row r="4595" spans="6:6" x14ac:dyDescent="0.3">
      <c r="F4595" s="190"/>
    </row>
    <row r="4596" spans="6:6" x14ac:dyDescent="0.3">
      <c r="F4596" s="190"/>
    </row>
    <row r="4597" spans="6:6" x14ac:dyDescent="0.3">
      <c r="F4597" s="190"/>
    </row>
    <row r="4598" spans="6:6" x14ac:dyDescent="0.3">
      <c r="F4598" s="190"/>
    </row>
    <row r="4599" spans="6:6" x14ac:dyDescent="0.3">
      <c r="F4599" s="190"/>
    </row>
    <row r="4600" spans="6:6" x14ac:dyDescent="0.3">
      <c r="F4600" s="190"/>
    </row>
    <row r="4601" spans="6:6" x14ac:dyDescent="0.3">
      <c r="F4601" s="190"/>
    </row>
    <row r="4602" spans="6:6" x14ac:dyDescent="0.3">
      <c r="F4602" s="190"/>
    </row>
    <row r="4603" spans="6:6" x14ac:dyDescent="0.3">
      <c r="F4603" s="190"/>
    </row>
    <row r="4604" spans="6:6" x14ac:dyDescent="0.3">
      <c r="F4604" s="190"/>
    </row>
    <row r="4605" spans="6:6" x14ac:dyDescent="0.3">
      <c r="F4605" s="190"/>
    </row>
    <row r="4606" spans="6:6" x14ac:dyDescent="0.3">
      <c r="F4606" s="190"/>
    </row>
    <row r="4607" spans="6:6" x14ac:dyDescent="0.3">
      <c r="F4607" s="190"/>
    </row>
    <row r="4608" spans="6:6" x14ac:dyDescent="0.3">
      <c r="F4608" s="190"/>
    </row>
    <row r="4609" spans="6:6" x14ac:dyDescent="0.3">
      <c r="F4609" s="190"/>
    </row>
    <row r="4610" spans="6:6" x14ac:dyDescent="0.3">
      <c r="F4610" s="190"/>
    </row>
    <row r="4611" spans="6:6" x14ac:dyDescent="0.3">
      <c r="F4611" s="190"/>
    </row>
    <row r="4612" spans="6:6" x14ac:dyDescent="0.3">
      <c r="F4612" s="190"/>
    </row>
    <row r="4613" spans="6:6" x14ac:dyDescent="0.3">
      <c r="F4613" s="190"/>
    </row>
    <row r="4614" spans="6:6" x14ac:dyDescent="0.3">
      <c r="F4614" s="190"/>
    </row>
    <row r="4615" spans="6:6" x14ac:dyDescent="0.3">
      <c r="F4615" s="190"/>
    </row>
    <row r="4616" spans="6:6" x14ac:dyDescent="0.3">
      <c r="F4616" s="190"/>
    </row>
    <row r="4617" spans="6:6" x14ac:dyDescent="0.3">
      <c r="F4617" s="190"/>
    </row>
    <row r="4618" spans="6:6" x14ac:dyDescent="0.3">
      <c r="F4618" s="190"/>
    </row>
    <row r="4619" spans="6:6" x14ac:dyDescent="0.3">
      <c r="F4619" s="190"/>
    </row>
    <row r="4620" spans="6:6" x14ac:dyDescent="0.3">
      <c r="F4620" s="190"/>
    </row>
    <row r="4621" spans="6:6" x14ac:dyDescent="0.3">
      <c r="F4621" s="190"/>
    </row>
    <row r="4622" spans="6:6" x14ac:dyDescent="0.3">
      <c r="F4622" s="190"/>
    </row>
    <row r="4623" spans="6:6" x14ac:dyDescent="0.3">
      <c r="F4623" s="190"/>
    </row>
    <row r="4624" spans="6:6" x14ac:dyDescent="0.3">
      <c r="F4624" s="190"/>
    </row>
    <row r="4625" spans="6:6" x14ac:dyDescent="0.3">
      <c r="F4625" s="190"/>
    </row>
    <row r="4626" spans="6:6" x14ac:dyDescent="0.3">
      <c r="F4626" s="190"/>
    </row>
    <row r="4627" spans="6:6" x14ac:dyDescent="0.3">
      <c r="F4627" s="190"/>
    </row>
    <row r="4628" spans="6:6" x14ac:dyDescent="0.3">
      <c r="F4628" s="190"/>
    </row>
    <row r="4629" spans="6:6" x14ac:dyDescent="0.3">
      <c r="F4629" s="190"/>
    </row>
    <row r="4630" spans="6:6" x14ac:dyDescent="0.3">
      <c r="F4630" s="190"/>
    </row>
    <row r="4631" spans="6:6" x14ac:dyDescent="0.3">
      <c r="F4631" s="190"/>
    </row>
    <row r="4632" spans="6:6" x14ac:dyDescent="0.3">
      <c r="F4632" s="190"/>
    </row>
    <row r="4633" spans="6:6" x14ac:dyDescent="0.3">
      <c r="F4633" s="190"/>
    </row>
    <row r="4634" spans="6:6" x14ac:dyDescent="0.3">
      <c r="F4634" s="190"/>
    </row>
    <row r="4635" spans="6:6" x14ac:dyDescent="0.3">
      <c r="F4635" s="190"/>
    </row>
    <row r="4636" spans="6:6" x14ac:dyDescent="0.3">
      <c r="F4636" s="190"/>
    </row>
    <row r="4637" spans="6:6" x14ac:dyDescent="0.3">
      <c r="F4637" s="190"/>
    </row>
    <row r="4638" spans="6:6" x14ac:dyDescent="0.3">
      <c r="F4638" s="190"/>
    </row>
    <row r="4639" spans="6:6" x14ac:dyDescent="0.3">
      <c r="F4639" s="190"/>
    </row>
    <row r="4640" spans="6:6" x14ac:dyDescent="0.3">
      <c r="F4640" s="190"/>
    </row>
    <row r="4641" spans="6:6" x14ac:dyDescent="0.3">
      <c r="F4641" s="190"/>
    </row>
    <row r="4642" spans="6:6" x14ac:dyDescent="0.3">
      <c r="F4642" s="190"/>
    </row>
    <row r="4643" spans="6:6" x14ac:dyDescent="0.3">
      <c r="F4643" s="190"/>
    </row>
    <row r="4644" spans="6:6" x14ac:dyDescent="0.3">
      <c r="F4644" s="190"/>
    </row>
    <row r="4645" spans="6:6" x14ac:dyDescent="0.3">
      <c r="F4645" s="190"/>
    </row>
    <row r="4646" spans="6:6" x14ac:dyDescent="0.3">
      <c r="F4646" s="190"/>
    </row>
    <row r="4647" spans="6:6" x14ac:dyDescent="0.3">
      <c r="F4647" s="190"/>
    </row>
    <row r="4648" spans="6:6" x14ac:dyDescent="0.3">
      <c r="F4648" s="190"/>
    </row>
    <row r="4649" spans="6:6" x14ac:dyDescent="0.3">
      <c r="F4649" s="190"/>
    </row>
    <row r="4650" spans="6:6" x14ac:dyDescent="0.3">
      <c r="F4650" s="190"/>
    </row>
    <row r="4651" spans="6:6" x14ac:dyDescent="0.3">
      <c r="F4651" s="190"/>
    </row>
    <row r="4652" spans="6:6" x14ac:dyDescent="0.3">
      <c r="F4652" s="190"/>
    </row>
    <row r="4653" spans="6:6" x14ac:dyDescent="0.3">
      <c r="F4653" s="190"/>
    </row>
    <row r="4654" spans="6:6" x14ac:dyDescent="0.3">
      <c r="F4654" s="190"/>
    </row>
    <row r="4655" spans="6:6" x14ac:dyDescent="0.3">
      <c r="F4655" s="190"/>
    </row>
    <row r="4656" spans="6:6" x14ac:dyDescent="0.3">
      <c r="F4656" s="190"/>
    </row>
    <row r="4657" spans="6:6" x14ac:dyDescent="0.3">
      <c r="F4657" s="190"/>
    </row>
    <row r="4658" spans="6:6" x14ac:dyDescent="0.3">
      <c r="F4658" s="190"/>
    </row>
    <row r="4659" spans="6:6" x14ac:dyDescent="0.3">
      <c r="F4659" s="190"/>
    </row>
    <row r="4660" spans="6:6" x14ac:dyDescent="0.3">
      <c r="F4660" s="190"/>
    </row>
    <row r="4661" spans="6:6" x14ac:dyDescent="0.3">
      <c r="F4661" s="190"/>
    </row>
    <row r="4662" spans="6:6" x14ac:dyDescent="0.3">
      <c r="F4662" s="190"/>
    </row>
    <row r="4663" spans="6:6" x14ac:dyDescent="0.3">
      <c r="F4663" s="190"/>
    </row>
    <row r="4664" spans="6:6" x14ac:dyDescent="0.3">
      <c r="F4664" s="190"/>
    </row>
    <row r="4665" spans="6:6" x14ac:dyDescent="0.3">
      <c r="F4665" s="190"/>
    </row>
    <row r="4666" spans="6:6" x14ac:dyDescent="0.3">
      <c r="F4666" s="190"/>
    </row>
    <row r="4667" spans="6:6" x14ac:dyDescent="0.3">
      <c r="F4667" s="190"/>
    </row>
    <row r="4668" spans="6:6" x14ac:dyDescent="0.3">
      <c r="F4668" s="190"/>
    </row>
    <row r="4669" spans="6:6" x14ac:dyDescent="0.3">
      <c r="F4669" s="190"/>
    </row>
    <row r="4670" spans="6:6" x14ac:dyDescent="0.3">
      <c r="F4670" s="190"/>
    </row>
    <row r="4671" spans="6:6" x14ac:dyDescent="0.3">
      <c r="F4671" s="190"/>
    </row>
    <row r="4672" spans="6:6" x14ac:dyDescent="0.3">
      <c r="F4672" s="190"/>
    </row>
    <row r="4673" spans="6:6" x14ac:dyDescent="0.3">
      <c r="F4673" s="190"/>
    </row>
    <row r="4674" spans="6:6" x14ac:dyDescent="0.3">
      <c r="F4674" s="190"/>
    </row>
    <row r="4675" spans="6:6" x14ac:dyDescent="0.3">
      <c r="F4675" s="190"/>
    </row>
    <row r="4676" spans="6:6" x14ac:dyDescent="0.3">
      <c r="F4676" s="190"/>
    </row>
    <row r="4677" spans="6:6" x14ac:dyDescent="0.3">
      <c r="F4677" s="190"/>
    </row>
    <row r="4678" spans="6:6" x14ac:dyDescent="0.3">
      <c r="F4678" s="190"/>
    </row>
    <row r="4679" spans="6:6" x14ac:dyDescent="0.3">
      <c r="F4679" s="190"/>
    </row>
    <row r="4680" spans="6:6" x14ac:dyDescent="0.3">
      <c r="F4680" s="190"/>
    </row>
    <row r="4681" spans="6:6" x14ac:dyDescent="0.3">
      <c r="F4681" s="190"/>
    </row>
    <row r="4682" spans="6:6" x14ac:dyDescent="0.3">
      <c r="F4682" s="190"/>
    </row>
    <row r="4683" spans="6:6" x14ac:dyDescent="0.3">
      <c r="F4683" s="190"/>
    </row>
    <row r="4684" spans="6:6" x14ac:dyDescent="0.3">
      <c r="F4684" s="190"/>
    </row>
    <row r="4685" spans="6:6" x14ac:dyDescent="0.3">
      <c r="F4685" s="190"/>
    </row>
    <row r="4686" spans="6:6" x14ac:dyDescent="0.3">
      <c r="F4686" s="190"/>
    </row>
    <row r="4687" spans="6:6" x14ac:dyDescent="0.3">
      <c r="F4687" s="190"/>
    </row>
    <row r="4688" spans="6:6" x14ac:dyDescent="0.3">
      <c r="F4688" s="190"/>
    </row>
    <row r="4689" spans="6:6" x14ac:dyDescent="0.3">
      <c r="F4689" s="190"/>
    </row>
    <row r="4690" spans="6:6" x14ac:dyDescent="0.3">
      <c r="F4690" s="190"/>
    </row>
    <row r="4691" spans="6:6" x14ac:dyDescent="0.3">
      <c r="F4691" s="190"/>
    </row>
    <row r="4692" spans="6:6" x14ac:dyDescent="0.3">
      <c r="F4692" s="190"/>
    </row>
    <row r="4693" spans="6:6" x14ac:dyDescent="0.3">
      <c r="F4693" s="190"/>
    </row>
    <row r="4694" spans="6:6" x14ac:dyDescent="0.3">
      <c r="F4694" s="190"/>
    </row>
    <row r="4695" spans="6:6" x14ac:dyDescent="0.3">
      <c r="F4695" s="190"/>
    </row>
    <row r="4696" spans="6:6" x14ac:dyDescent="0.3">
      <c r="F4696" s="190"/>
    </row>
    <row r="4697" spans="6:6" x14ac:dyDescent="0.3">
      <c r="F4697" s="190"/>
    </row>
    <row r="4698" spans="6:6" x14ac:dyDescent="0.3">
      <c r="F4698" s="190"/>
    </row>
    <row r="4699" spans="6:6" x14ac:dyDescent="0.3">
      <c r="F4699" s="190"/>
    </row>
    <row r="4700" spans="6:6" x14ac:dyDescent="0.3">
      <c r="F4700" s="190"/>
    </row>
    <row r="4701" spans="6:6" x14ac:dyDescent="0.3">
      <c r="F4701" s="190"/>
    </row>
    <row r="4702" spans="6:6" x14ac:dyDescent="0.3">
      <c r="F4702" s="190"/>
    </row>
    <row r="4703" spans="6:6" x14ac:dyDescent="0.3">
      <c r="F4703" s="190"/>
    </row>
    <row r="4704" spans="6:6" x14ac:dyDescent="0.3">
      <c r="F4704" s="190"/>
    </row>
    <row r="4705" spans="6:6" x14ac:dyDescent="0.3">
      <c r="F4705" s="190"/>
    </row>
    <row r="4706" spans="6:6" x14ac:dyDescent="0.3">
      <c r="F4706" s="190"/>
    </row>
    <row r="4707" spans="6:6" x14ac:dyDescent="0.3">
      <c r="F4707" s="190"/>
    </row>
    <row r="4708" spans="6:6" x14ac:dyDescent="0.3">
      <c r="F4708" s="190"/>
    </row>
    <row r="4709" spans="6:6" x14ac:dyDescent="0.3">
      <c r="F4709" s="190"/>
    </row>
    <row r="4710" spans="6:6" x14ac:dyDescent="0.3">
      <c r="F4710" s="190"/>
    </row>
    <row r="4711" spans="6:6" x14ac:dyDescent="0.3">
      <c r="F4711" s="190"/>
    </row>
    <row r="4712" spans="6:6" x14ac:dyDescent="0.3">
      <c r="F4712" s="190"/>
    </row>
    <row r="4713" spans="6:6" x14ac:dyDescent="0.3">
      <c r="F4713" s="190"/>
    </row>
    <row r="4714" spans="6:6" x14ac:dyDescent="0.3">
      <c r="F4714" s="190"/>
    </row>
    <row r="4715" spans="6:6" x14ac:dyDescent="0.3">
      <c r="F4715" s="190"/>
    </row>
    <row r="4716" spans="6:6" x14ac:dyDescent="0.3">
      <c r="F4716" s="190"/>
    </row>
    <row r="4717" spans="6:6" x14ac:dyDescent="0.3">
      <c r="F4717" s="190"/>
    </row>
    <row r="4718" spans="6:6" x14ac:dyDescent="0.3">
      <c r="F4718" s="190"/>
    </row>
    <row r="4719" spans="6:6" x14ac:dyDescent="0.3">
      <c r="F4719" s="190"/>
    </row>
    <row r="4720" spans="6:6" x14ac:dyDescent="0.3">
      <c r="F4720" s="190"/>
    </row>
    <row r="4721" spans="6:6" x14ac:dyDescent="0.3">
      <c r="F4721" s="190"/>
    </row>
    <row r="4722" spans="6:6" x14ac:dyDescent="0.3">
      <c r="F4722" s="190"/>
    </row>
    <row r="4723" spans="6:6" x14ac:dyDescent="0.3">
      <c r="F4723" s="190"/>
    </row>
    <row r="4724" spans="6:6" x14ac:dyDescent="0.3">
      <c r="F4724" s="190"/>
    </row>
    <row r="4725" spans="6:6" x14ac:dyDescent="0.3">
      <c r="F4725" s="190"/>
    </row>
    <row r="4726" spans="6:6" x14ac:dyDescent="0.3">
      <c r="F4726" s="190"/>
    </row>
    <row r="4727" spans="6:6" x14ac:dyDescent="0.3">
      <c r="F4727" s="190"/>
    </row>
    <row r="4728" spans="6:6" x14ac:dyDescent="0.3">
      <c r="F4728" s="190"/>
    </row>
    <row r="4729" spans="6:6" x14ac:dyDescent="0.3">
      <c r="F4729" s="190"/>
    </row>
    <row r="4730" spans="6:6" x14ac:dyDescent="0.3">
      <c r="F4730" s="190"/>
    </row>
    <row r="4731" spans="6:6" x14ac:dyDescent="0.3">
      <c r="F4731" s="190"/>
    </row>
    <row r="4732" spans="6:6" x14ac:dyDescent="0.3">
      <c r="F4732" s="190"/>
    </row>
    <row r="4733" spans="6:6" x14ac:dyDescent="0.3">
      <c r="F4733" s="190"/>
    </row>
    <row r="4734" spans="6:6" x14ac:dyDescent="0.3">
      <c r="F4734" s="190"/>
    </row>
    <row r="4735" spans="6:6" x14ac:dyDescent="0.3">
      <c r="F4735" s="190"/>
    </row>
    <row r="4736" spans="6:6" x14ac:dyDescent="0.3">
      <c r="F4736" s="190"/>
    </row>
    <row r="4737" spans="6:6" x14ac:dyDescent="0.3">
      <c r="F4737" s="190"/>
    </row>
    <row r="4738" spans="6:6" x14ac:dyDescent="0.3">
      <c r="F4738" s="190"/>
    </row>
    <row r="4739" spans="6:6" x14ac:dyDescent="0.3">
      <c r="F4739" s="190"/>
    </row>
    <row r="4740" spans="6:6" x14ac:dyDescent="0.3">
      <c r="F4740" s="190"/>
    </row>
    <row r="4741" spans="6:6" x14ac:dyDescent="0.3">
      <c r="F4741" s="190"/>
    </row>
    <row r="4742" spans="6:6" x14ac:dyDescent="0.3">
      <c r="F4742" s="190"/>
    </row>
    <row r="4743" spans="6:6" x14ac:dyDescent="0.3">
      <c r="F4743" s="190"/>
    </row>
    <row r="4744" spans="6:6" x14ac:dyDescent="0.3">
      <c r="F4744" s="190"/>
    </row>
    <row r="4745" spans="6:6" x14ac:dyDescent="0.3">
      <c r="F4745" s="190"/>
    </row>
    <row r="4746" spans="6:6" x14ac:dyDescent="0.3">
      <c r="F4746" s="190"/>
    </row>
    <row r="4747" spans="6:6" x14ac:dyDescent="0.3">
      <c r="F4747" s="190"/>
    </row>
    <row r="4748" spans="6:6" x14ac:dyDescent="0.3">
      <c r="F4748" s="190"/>
    </row>
    <row r="4749" spans="6:6" x14ac:dyDescent="0.3">
      <c r="F4749" s="190"/>
    </row>
    <row r="4750" spans="6:6" x14ac:dyDescent="0.3">
      <c r="F4750" s="190"/>
    </row>
    <row r="4751" spans="6:6" x14ac:dyDescent="0.3">
      <c r="F4751" s="190"/>
    </row>
    <row r="4752" spans="6:6" x14ac:dyDescent="0.3">
      <c r="F4752" s="190"/>
    </row>
    <row r="4753" spans="6:6" x14ac:dyDescent="0.3">
      <c r="F4753" s="190"/>
    </row>
    <row r="4754" spans="6:6" x14ac:dyDescent="0.3">
      <c r="F4754" s="190"/>
    </row>
    <row r="4755" spans="6:6" x14ac:dyDescent="0.3">
      <c r="F4755" s="190"/>
    </row>
    <row r="4756" spans="6:6" x14ac:dyDescent="0.3">
      <c r="F4756" s="190"/>
    </row>
    <row r="4757" spans="6:6" x14ac:dyDescent="0.3">
      <c r="F4757" s="190"/>
    </row>
    <row r="4758" spans="6:6" x14ac:dyDescent="0.3">
      <c r="F4758" s="190"/>
    </row>
    <row r="4759" spans="6:6" x14ac:dyDescent="0.3">
      <c r="F4759" s="190"/>
    </row>
    <row r="4760" spans="6:6" x14ac:dyDescent="0.3">
      <c r="F4760" s="190"/>
    </row>
    <row r="4761" spans="6:6" x14ac:dyDescent="0.3">
      <c r="F4761" s="190"/>
    </row>
    <row r="4762" spans="6:6" x14ac:dyDescent="0.3">
      <c r="F4762" s="190"/>
    </row>
    <row r="4763" spans="6:6" x14ac:dyDescent="0.3">
      <c r="F4763" s="190"/>
    </row>
    <row r="4764" spans="6:6" x14ac:dyDescent="0.3">
      <c r="F4764" s="190"/>
    </row>
    <row r="4765" spans="6:6" x14ac:dyDescent="0.3">
      <c r="F4765" s="190"/>
    </row>
    <row r="4766" spans="6:6" x14ac:dyDescent="0.3">
      <c r="F4766" s="190"/>
    </row>
    <row r="4767" spans="6:6" x14ac:dyDescent="0.3">
      <c r="F4767" s="190"/>
    </row>
    <row r="4768" spans="6:6" x14ac:dyDescent="0.3">
      <c r="F4768" s="190"/>
    </row>
    <row r="4769" spans="6:6" x14ac:dyDescent="0.3">
      <c r="F4769" s="190"/>
    </row>
    <row r="4770" spans="6:6" x14ac:dyDescent="0.3">
      <c r="F4770" s="190"/>
    </row>
    <row r="4771" spans="6:6" x14ac:dyDescent="0.3">
      <c r="F4771" s="190"/>
    </row>
    <row r="4772" spans="6:6" x14ac:dyDescent="0.3">
      <c r="F4772" s="190"/>
    </row>
    <row r="4773" spans="6:6" x14ac:dyDescent="0.3">
      <c r="F4773" s="190"/>
    </row>
    <row r="4774" spans="6:6" x14ac:dyDescent="0.3">
      <c r="F4774" s="190"/>
    </row>
    <row r="4775" spans="6:6" x14ac:dyDescent="0.3">
      <c r="F4775" s="190"/>
    </row>
    <row r="4776" spans="6:6" x14ac:dyDescent="0.3">
      <c r="F4776" s="190"/>
    </row>
    <row r="4777" spans="6:6" x14ac:dyDescent="0.3">
      <c r="F4777" s="190"/>
    </row>
    <row r="4778" spans="6:6" x14ac:dyDescent="0.3">
      <c r="F4778" s="190"/>
    </row>
    <row r="4779" spans="6:6" x14ac:dyDescent="0.3">
      <c r="F4779" s="190"/>
    </row>
    <row r="4780" spans="6:6" x14ac:dyDescent="0.3">
      <c r="F4780" s="190"/>
    </row>
    <row r="4781" spans="6:6" x14ac:dyDescent="0.3">
      <c r="F4781" s="190"/>
    </row>
    <row r="4782" spans="6:6" x14ac:dyDescent="0.3">
      <c r="F4782" s="190"/>
    </row>
    <row r="4783" spans="6:6" x14ac:dyDescent="0.3">
      <c r="F4783" s="190"/>
    </row>
    <row r="4784" spans="6:6" x14ac:dyDescent="0.3">
      <c r="F4784" s="190"/>
    </row>
    <row r="4785" spans="6:6" x14ac:dyDescent="0.3">
      <c r="F4785" s="190"/>
    </row>
    <row r="4786" spans="6:6" x14ac:dyDescent="0.3">
      <c r="F4786" s="190"/>
    </row>
    <row r="4787" spans="6:6" x14ac:dyDescent="0.3">
      <c r="F4787" s="190"/>
    </row>
    <row r="4788" spans="6:6" x14ac:dyDescent="0.3">
      <c r="F4788" s="190"/>
    </row>
    <row r="4789" spans="6:6" x14ac:dyDescent="0.3">
      <c r="F4789" s="190"/>
    </row>
    <row r="4790" spans="6:6" x14ac:dyDescent="0.3">
      <c r="F4790" s="190"/>
    </row>
    <row r="4791" spans="6:6" x14ac:dyDescent="0.3">
      <c r="F4791" s="190"/>
    </row>
    <row r="4792" spans="6:6" x14ac:dyDescent="0.3">
      <c r="F4792" s="190"/>
    </row>
    <row r="4793" spans="6:6" x14ac:dyDescent="0.3">
      <c r="F4793" s="190"/>
    </row>
    <row r="4794" spans="6:6" x14ac:dyDescent="0.3">
      <c r="F4794" s="190"/>
    </row>
    <row r="4795" spans="6:6" x14ac:dyDescent="0.3">
      <c r="F4795" s="190"/>
    </row>
    <row r="4796" spans="6:6" x14ac:dyDescent="0.3">
      <c r="F4796" s="190"/>
    </row>
    <row r="4797" spans="6:6" x14ac:dyDescent="0.3">
      <c r="F4797" s="190"/>
    </row>
    <row r="4798" spans="6:6" x14ac:dyDescent="0.3">
      <c r="F4798" s="190"/>
    </row>
    <row r="4799" spans="6:6" x14ac:dyDescent="0.3">
      <c r="F4799" s="190"/>
    </row>
    <row r="4800" spans="6:6" x14ac:dyDescent="0.3">
      <c r="F4800" s="190"/>
    </row>
    <row r="4801" spans="6:6" x14ac:dyDescent="0.3">
      <c r="F4801" s="190"/>
    </row>
    <row r="4802" spans="6:6" x14ac:dyDescent="0.3">
      <c r="F4802" s="190"/>
    </row>
    <row r="4803" spans="6:6" x14ac:dyDescent="0.3">
      <c r="F4803" s="190"/>
    </row>
    <row r="4804" spans="6:6" x14ac:dyDescent="0.3">
      <c r="F4804" s="190"/>
    </row>
    <row r="4805" spans="6:6" x14ac:dyDescent="0.3">
      <c r="F4805" s="190"/>
    </row>
    <row r="4806" spans="6:6" x14ac:dyDescent="0.3">
      <c r="F4806" s="190"/>
    </row>
    <row r="4807" spans="6:6" x14ac:dyDescent="0.3">
      <c r="F4807" s="190"/>
    </row>
    <row r="4808" spans="6:6" x14ac:dyDescent="0.3">
      <c r="F4808" s="190"/>
    </row>
    <row r="4809" spans="6:6" x14ac:dyDescent="0.3">
      <c r="F4809" s="190"/>
    </row>
    <row r="4810" spans="6:6" x14ac:dyDescent="0.3">
      <c r="F4810" s="190"/>
    </row>
    <row r="4811" spans="6:6" x14ac:dyDescent="0.3">
      <c r="F4811" s="190"/>
    </row>
    <row r="4812" spans="6:6" x14ac:dyDescent="0.3">
      <c r="F4812" s="190"/>
    </row>
    <row r="4813" spans="6:6" x14ac:dyDescent="0.3">
      <c r="F4813" s="190"/>
    </row>
    <row r="4814" spans="6:6" x14ac:dyDescent="0.3">
      <c r="F4814" s="190"/>
    </row>
    <row r="4815" spans="6:6" x14ac:dyDescent="0.3">
      <c r="F4815" s="190"/>
    </row>
    <row r="4816" spans="6:6" x14ac:dyDescent="0.3">
      <c r="F4816" s="190"/>
    </row>
    <row r="4817" spans="6:6" x14ac:dyDescent="0.3">
      <c r="F4817" s="190"/>
    </row>
    <row r="4818" spans="6:6" x14ac:dyDescent="0.3">
      <c r="F4818" s="190"/>
    </row>
    <row r="4819" spans="6:6" x14ac:dyDescent="0.3">
      <c r="F4819" s="190"/>
    </row>
    <row r="4820" spans="6:6" x14ac:dyDescent="0.3">
      <c r="F4820" s="190"/>
    </row>
    <row r="4821" spans="6:6" x14ac:dyDescent="0.3">
      <c r="F4821" s="190"/>
    </row>
    <row r="4822" spans="6:6" x14ac:dyDescent="0.3">
      <c r="F4822" s="190"/>
    </row>
    <row r="4823" spans="6:6" x14ac:dyDescent="0.3">
      <c r="F4823" s="190"/>
    </row>
    <row r="4824" spans="6:6" x14ac:dyDescent="0.3">
      <c r="F4824" s="190"/>
    </row>
    <row r="4825" spans="6:6" x14ac:dyDescent="0.3">
      <c r="F4825" s="190"/>
    </row>
    <row r="4826" spans="6:6" x14ac:dyDescent="0.3">
      <c r="F4826" s="190"/>
    </row>
    <row r="4827" spans="6:6" x14ac:dyDescent="0.3">
      <c r="F4827" s="190"/>
    </row>
    <row r="4828" spans="6:6" x14ac:dyDescent="0.3">
      <c r="F4828" s="190"/>
    </row>
    <row r="4829" spans="6:6" x14ac:dyDescent="0.3">
      <c r="F4829" s="190"/>
    </row>
    <row r="4830" spans="6:6" x14ac:dyDescent="0.3">
      <c r="F4830" s="190"/>
    </row>
    <row r="4831" spans="6:6" x14ac:dyDescent="0.3">
      <c r="F4831" s="190"/>
    </row>
    <row r="4832" spans="6:6" x14ac:dyDescent="0.3">
      <c r="F4832" s="190"/>
    </row>
    <row r="4833" spans="6:6" x14ac:dyDescent="0.3">
      <c r="F4833" s="190"/>
    </row>
    <row r="4834" spans="6:6" x14ac:dyDescent="0.3">
      <c r="F4834" s="190"/>
    </row>
    <row r="4835" spans="6:6" x14ac:dyDescent="0.3">
      <c r="F4835" s="190"/>
    </row>
    <row r="4836" spans="6:6" x14ac:dyDescent="0.3">
      <c r="F4836" s="190"/>
    </row>
    <row r="4837" spans="6:6" x14ac:dyDescent="0.3">
      <c r="F4837" s="190"/>
    </row>
    <row r="4838" spans="6:6" x14ac:dyDescent="0.3">
      <c r="F4838" s="190"/>
    </row>
    <row r="4839" spans="6:6" x14ac:dyDescent="0.3">
      <c r="F4839" s="190"/>
    </row>
    <row r="4840" spans="6:6" x14ac:dyDescent="0.3">
      <c r="F4840" s="190"/>
    </row>
    <row r="4841" spans="6:6" x14ac:dyDescent="0.3">
      <c r="F4841" s="190"/>
    </row>
    <row r="4842" spans="6:6" x14ac:dyDescent="0.3">
      <c r="F4842" s="190"/>
    </row>
    <row r="4843" spans="6:6" x14ac:dyDescent="0.3">
      <c r="F4843" s="190"/>
    </row>
    <row r="4844" spans="6:6" x14ac:dyDescent="0.3">
      <c r="F4844" s="190"/>
    </row>
    <row r="4845" spans="6:6" x14ac:dyDescent="0.3">
      <c r="F4845" s="190"/>
    </row>
    <row r="4846" spans="6:6" x14ac:dyDescent="0.3">
      <c r="F4846" s="190"/>
    </row>
    <row r="4847" spans="6:6" x14ac:dyDescent="0.3">
      <c r="F4847" s="190"/>
    </row>
    <row r="4848" spans="6:6" x14ac:dyDescent="0.3">
      <c r="F4848" s="190"/>
    </row>
    <row r="4849" spans="6:6" x14ac:dyDescent="0.3">
      <c r="F4849" s="190"/>
    </row>
    <row r="4850" spans="6:6" x14ac:dyDescent="0.3">
      <c r="F4850" s="190"/>
    </row>
    <row r="4851" spans="6:6" x14ac:dyDescent="0.3">
      <c r="F4851" s="190"/>
    </row>
    <row r="4852" spans="6:6" x14ac:dyDescent="0.3">
      <c r="F4852" s="190"/>
    </row>
    <row r="4853" spans="6:6" x14ac:dyDescent="0.3">
      <c r="F4853" s="190"/>
    </row>
    <row r="4854" spans="6:6" x14ac:dyDescent="0.3">
      <c r="F4854" s="190"/>
    </row>
    <row r="4855" spans="6:6" x14ac:dyDescent="0.3">
      <c r="F4855" s="190"/>
    </row>
    <row r="4856" spans="6:6" x14ac:dyDescent="0.3">
      <c r="F4856" s="190"/>
    </row>
    <row r="4857" spans="6:6" x14ac:dyDescent="0.3">
      <c r="F4857" s="190"/>
    </row>
  </sheetData>
  <autoFilter ref="A1:AZ52" xr:uid="{B00B9C9F-D174-41B4-A074-1A99AC213FF3}"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  <filterColumn colId="43" showButton="0"/>
    <filterColumn colId="44" showButton="0"/>
    <filterColumn colId="46" showButton="0"/>
    <filterColumn colId="47" showButton="0"/>
    <filterColumn colId="49" showButton="0"/>
    <filterColumn colId="50" showButton="0"/>
  </autoFilter>
  <mergeCells count="28">
    <mergeCell ref="Z1:AB1"/>
    <mergeCell ref="T1:V1"/>
    <mergeCell ref="W1:Y1"/>
    <mergeCell ref="AU1:AW1"/>
    <mergeCell ref="AX1:AZ1"/>
    <mergeCell ref="AO1:AQ1"/>
    <mergeCell ref="AR1:AT1"/>
    <mergeCell ref="A1:A2"/>
    <mergeCell ref="B1:B2"/>
    <mergeCell ref="C1:C2"/>
    <mergeCell ref="D1:D2"/>
    <mergeCell ref="E1:E2"/>
    <mergeCell ref="F1:F2"/>
    <mergeCell ref="AC1:AE1"/>
    <mergeCell ref="AF1:AH1"/>
    <mergeCell ref="AI1:AK1"/>
    <mergeCell ref="AL1:AN1"/>
    <mergeCell ref="Q1:S1"/>
    <mergeCell ref="O1:O2"/>
    <mergeCell ref="P1:P2"/>
    <mergeCell ref="G1:G2"/>
    <mergeCell ref="H1:H2"/>
    <mergeCell ref="I1:I2"/>
    <mergeCell ref="M1:M2"/>
    <mergeCell ref="N1:N2"/>
    <mergeCell ref="J1:J2"/>
    <mergeCell ref="K1:K2"/>
    <mergeCell ref="L1:L2"/>
  </mergeCells>
  <conditionalFormatting sqref="D3 P21:V21 Z21:XFD21 P22:XFD29 P30:S30 W30:XFD30 P31:XFD32 P41:XFD45 P46:R46 T46:BB46 BD46:XFD47 P47:U47 W47:BB47 P48:XFD52 P53:BB53 BD53:XFD53 P54:XFD949">
    <cfRule type="cellIs" dxfId="57" priority="67" operator="equal">
      <formula>80</formula>
    </cfRule>
  </conditionalFormatting>
  <conditionalFormatting sqref="D5:D8">
    <cfRule type="cellIs" dxfId="56" priority="62" operator="equal">
      <formula>80</formula>
    </cfRule>
  </conditionalFormatting>
  <conditionalFormatting sqref="D10:D13">
    <cfRule type="cellIs" dxfId="55" priority="55" operator="equal">
      <formula>80</formula>
    </cfRule>
  </conditionalFormatting>
  <conditionalFormatting sqref="D46:E46">
    <cfRule type="cellIs" dxfId="54" priority="10" operator="equal">
      <formula>80</formula>
    </cfRule>
  </conditionalFormatting>
  <conditionalFormatting sqref="D37:H40">
    <cfRule type="cellIs" dxfId="53" priority="17" operator="equal">
      <formula>80</formula>
    </cfRule>
  </conditionalFormatting>
  <conditionalFormatting sqref="D42:J43">
    <cfRule type="cellIs" dxfId="52" priority="16" operator="equal">
      <formula>80</formula>
    </cfRule>
  </conditionalFormatting>
  <conditionalFormatting sqref="D44:N45 D48:N48 N49:N50 D51:N207">
    <cfRule type="cellIs" dxfId="51" priority="15" operator="equal">
      <formula>80</formula>
    </cfRule>
  </conditionalFormatting>
  <conditionalFormatting sqref="E5:E13">
    <cfRule type="cellIs" dxfId="50" priority="54" operator="equal">
      <formula>80</formula>
    </cfRule>
  </conditionalFormatting>
  <conditionalFormatting sqref="F3:F36 G14:H34 D14:E36 C951:F4857">
    <cfRule type="cellIs" dxfId="49" priority="179" operator="equal">
      <formula>80</formula>
    </cfRule>
  </conditionalFormatting>
  <conditionalFormatting sqref="F49:F50">
    <cfRule type="cellIs" dxfId="48" priority="7" operator="equal">
      <formula>80</formula>
    </cfRule>
  </conditionalFormatting>
  <conditionalFormatting sqref="F46:G47">
    <cfRule type="cellIs" dxfId="47" priority="9" operator="equal">
      <formula>80</formula>
    </cfRule>
  </conditionalFormatting>
  <conditionalFormatting sqref="G5:G8">
    <cfRule type="cellIs" dxfId="46" priority="58" operator="equal">
      <formula>80</formula>
    </cfRule>
  </conditionalFormatting>
  <conditionalFormatting sqref="G10:G13">
    <cfRule type="cellIs" dxfId="45" priority="53" operator="equal">
      <formula>80</formula>
    </cfRule>
  </conditionalFormatting>
  <conditionalFormatting sqref="G9:H9">
    <cfRule type="cellIs" dxfId="44" priority="80" operator="equal">
      <formula>80</formula>
    </cfRule>
  </conditionalFormatting>
  <conditionalFormatting sqref="M10:M13">
    <cfRule type="cellIs" dxfId="43" priority="52" operator="equal">
      <formula>80</formula>
    </cfRule>
  </conditionalFormatting>
  <conditionalFormatting sqref="M24:M27">
    <cfRule type="cellIs" dxfId="42" priority="35" operator="equal">
      <formula>80</formula>
    </cfRule>
  </conditionalFormatting>
  <conditionalFormatting sqref="M46:N47">
    <cfRule type="cellIs" dxfId="41" priority="8" operator="equal">
      <formula>80</formula>
    </cfRule>
  </conditionalFormatting>
  <conditionalFormatting sqref="N35:N36 N41:N949">
    <cfRule type="cellIs" dxfId="40" priority="266" operator="equal">
      <formula>50</formula>
    </cfRule>
    <cfRule type="cellIs" dxfId="39" priority="265" operator="equal">
      <formula>50</formula>
    </cfRule>
    <cfRule type="cellIs" dxfId="38" priority="264" operator="equal">
      <formula>"Billed"</formula>
    </cfRule>
    <cfRule type="cellIs" dxfId="37" priority="263" operator="equal">
      <formula>"Billed"</formula>
    </cfRule>
  </conditionalFormatting>
  <conditionalFormatting sqref="N41:N949 N35:N36">
    <cfRule type="cellIs" dxfId="36" priority="267" operator="equal">
      <formula>80</formula>
    </cfRule>
  </conditionalFormatting>
  <conditionalFormatting sqref="N951:N1048576">
    <cfRule type="cellIs" dxfId="35" priority="270" operator="equal">
      <formula>"Billed"</formula>
    </cfRule>
    <cfRule type="cellIs" dxfId="34" priority="271" operator="equal">
      <formula>"Billed"</formula>
    </cfRule>
    <cfRule type="cellIs" dxfId="33" priority="272" operator="equal">
      <formula>50</formula>
    </cfRule>
    <cfRule type="cellIs" dxfId="32" priority="273" operator="equal">
      <formula>50</formula>
    </cfRule>
    <cfRule type="cellIs" dxfId="31" priority="274" operator="equal">
      <formula>80</formula>
    </cfRule>
  </conditionalFormatting>
  <conditionalFormatting sqref="N952">
    <cfRule type="cellIs" dxfId="30" priority="237" operator="equal">
      <formula>80</formula>
    </cfRule>
  </conditionalFormatting>
  <conditionalFormatting sqref="P5:P10 P12:P13">
    <cfRule type="cellIs" dxfId="29" priority="51" operator="equal">
      <formula>80</formula>
    </cfRule>
  </conditionalFormatting>
  <conditionalFormatting sqref="Q1:R1 T1:U1 W1:X1">
    <cfRule type="cellIs" dxfId="28" priority="99" operator="equal">
      <formula>80</formula>
    </cfRule>
    <cfRule type="cellIs" dxfId="27" priority="100" operator="lessThan">
      <formula>0</formula>
    </cfRule>
  </conditionalFormatting>
  <conditionalFormatting sqref="Q3:AB3 Q4:Y8 Q9:AB20 Q21:V21 Q22:AB29 Q30:S30 W30:AB30 Q31:AB45 Q46:R46 T46:AB46 Q47:U47 W47:AB47 Q48:AB949 Q951:AB1048576">
    <cfRule type="cellIs" dxfId="26" priority="126" operator="lessThan">
      <formula>0</formula>
    </cfRule>
  </conditionalFormatting>
  <conditionalFormatting sqref="Q20:XFD20 Q33:XFD33 C208:N949 G951:N951 P951:XFD1048576 G952:H952 G953:N4857 C4858:N1048576">
    <cfRule type="cellIs" dxfId="25" priority="69" operator="equal">
      <formula>80</formula>
    </cfRule>
  </conditionalFormatting>
  <conditionalFormatting sqref="Z1:AA1 AC1:AD1 AF1:AG1 AI1:AJ1 AL1:AM1 AO1:AP1 AR1:AS1 AU1:AV1 AX1:AY1 Z2:AZ2">
    <cfRule type="cellIs" dxfId="24" priority="98" operator="equal">
      <formula>80</formula>
    </cfRule>
    <cfRule type="cellIs" dxfId="23" priority="103" operator="lessThan">
      <formula>0</formula>
    </cfRule>
  </conditionalFormatting>
  <conditionalFormatting sqref="Z4:AB4">
    <cfRule type="cellIs" dxfId="22" priority="13" operator="lessThan">
      <formula>0</formula>
    </cfRule>
  </conditionalFormatting>
  <conditionalFormatting sqref="Z21:AH21">
    <cfRule type="cellIs" dxfId="21" priority="14" operator="lessThan">
      <formula>0</formula>
    </cfRule>
  </conditionalFormatting>
  <conditionalFormatting sqref="Z5:AT5">
    <cfRule type="cellIs" dxfId="20" priority="86" operator="lessThan">
      <formula>0</formula>
    </cfRule>
  </conditionalFormatting>
  <conditionalFormatting sqref="Z7:AT7">
    <cfRule type="cellIs" dxfId="19" priority="56" operator="lessThan">
      <formula>0</formula>
    </cfRule>
  </conditionalFormatting>
  <conditionalFormatting sqref="AC3:AE4">
    <cfRule type="cellIs" dxfId="18" priority="64" operator="lessThan">
      <formula>0</formula>
    </cfRule>
  </conditionalFormatting>
  <conditionalFormatting sqref="AC19:AE19">
    <cfRule type="cellIs" dxfId="17" priority="3" operator="lessThan">
      <formula>0</formula>
    </cfRule>
  </conditionalFormatting>
  <conditionalFormatting sqref="AC28:AE28">
    <cfRule type="cellIs" dxfId="16" priority="4" operator="lessThan">
      <formula>0</formula>
    </cfRule>
  </conditionalFormatting>
  <conditionalFormatting sqref="AC33:AE33">
    <cfRule type="cellIs" dxfId="15" priority="2" operator="lessThan">
      <formula>0</formula>
    </cfRule>
  </conditionalFormatting>
  <conditionalFormatting sqref="AC41:AE41">
    <cfRule type="cellIs" dxfId="14" priority="1" operator="lessThan">
      <formula>0</formula>
    </cfRule>
  </conditionalFormatting>
  <conditionalFormatting sqref="AC49:AH50">
    <cfRule type="cellIs" dxfId="13" priority="5" operator="lessThan">
      <formula>0</formula>
    </cfRule>
  </conditionalFormatting>
  <conditionalFormatting sqref="AC9:AZ9">
    <cfRule type="cellIs" dxfId="12" priority="71" operator="lessThan">
      <formula>0</formula>
    </cfRule>
  </conditionalFormatting>
  <conditionalFormatting sqref="AF3:AH3">
    <cfRule type="cellIs" dxfId="11" priority="65" operator="lessThan">
      <formula>0</formula>
    </cfRule>
  </conditionalFormatting>
  <conditionalFormatting sqref="AI13:AQ20 P14:XFD19 C20:C23 P34:XFD39 G35:I35 L35:N35 G36:J36 N36 Q40:XFD40 D41:I41 L41:N43">
    <cfRule type="cellIs" dxfId="10" priority="39" operator="equal">
      <formula>80</formula>
    </cfRule>
  </conditionalFormatting>
  <conditionalFormatting sqref="AX7:AZ7">
    <cfRule type="cellIs" dxfId="9" priority="82" operator="lessThan">
      <formula>0</formula>
    </cfRule>
  </conditionalFormatting>
  <conditionalFormatting sqref="BA1:XFD2">
    <cfRule type="cellIs" dxfId="8" priority="269" operator="equal">
      <formula>80</formula>
    </cfRule>
  </conditionalFormatting>
  <dataValidations count="10">
    <dataValidation type="list" allowBlank="1" showInputMessage="1" showErrorMessage="1" sqref="F4858:F1048576" xr:uid="{3E9C88A5-670E-41D7-B65D-9A36592EBCC2}">
      <formula1>"Network, Telecom, ELV, Microsoft, Cloud, BizApp, Data, IOT, Cybersecurity, Managed Services, Other Application, Micro, Outsourcing "</formula1>
    </dataValidation>
    <dataValidation type="list" allowBlank="1" showInputMessage="1" showErrorMessage="1" sqref="O1:O2" xr:uid="{087933DE-3EF2-43E8-AAD2-CA48134CEF6B}">
      <formula1>"January, February, March, April, May, June, July, August, September, October, November, December"</formula1>
    </dataValidation>
    <dataValidation type="list" allowBlank="1" showInputMessage="1" showErrorMessage="1" sqref="O951:O1048576 O41:O949" xr:uid="{202A24BC-CB3C-4FD1-A450-2FDD7400D894}">
      <formula1>"January, February, March, April, May, June, July, August, September, October, November, December, Jan-25, Feb-25, Mar-25, Apr-25, May-25, Jun-25, Jul-25, Aug-25, Sep-25, Oct-25, Nov-25, Dec-25"</formula1>
    </dataValidation>
    <dataValidation type="list" allowBlank="1" showInputMessage="1" showErrorMessage="1" sqref="F951:F4857 F3:F949" xr:uid="{73C62268-524C-4450-91F6-D241063C6F9E}">
      <formula1>"Network, Telecom, ELV, Microsoft, Cloud, BizApp, Data, IOT, Cybersecurity, Managed Services, Other Application, Micro, Outsourcing, Micro, Hardware, Licenses, AMC Alpha with B2B, AMC Alpha, AMC B2B"</formula1>
    </dataValidation>
    <dataValidation type="list" allowBlank="1" showInputMessage="1" showErrorMessage="1" sqref="C951:C1048576 C3:C949" xr:uid="{A88F4FBB-5684-49C5-A16E-23AAE2599A42}">
      <formula1>"Micro, NW, ELV, Out, MSDT"</formula1>
    </dataValidation>
    <dataValidation type="list" allowBlank="1" showInputMessage="1" showErrorMessage="1" sqref="O3:O40" xr:uid="{705DBDB7-B1D1-461C-8CC6-91457AF38060}">
      <formula1>"2024, 2025, Jan 2026, Feb 2026, Mar 2026, Apr 2026, May 2026, Jun 2026, Jul 2026, Aug 2026, Sep 2026, Oct 2026, Nov 2026, Dec 2026"</formula1>
    </dataValidation>
    <dataValidation type="list" allowBlank="1" showInputMessage="1" showErrorMessage="1" sqref="J37:J41 J3:J35 J46:J47 J49:J50" xr:uid="{B884AFAC-3785-415F-9062-02CF90C8D4A8}">
      <formula1>"Yes, No"</formula1>
    </dataValidation>
    <dataValidation type="list" allowBlank="1" showInputMessage="1" showErrorMessage="1" sqref="N37:N40 N3:N34" xr:uid="{5C5003C6-D431-4BC7-8141-6E4C5D900163}">
      <formula1>"Booked in VIkas"</formula1>
    </dataValidation>
    <dataValidation type="list" allowBlank="1" showInputMessage="1" showErrorMessage="1" sqref="N35:N36 N41:N949" xr:uid="{C61E8E32-0F0E-4620-8D67-CA10370EB2E9}">
      <formula1>"Billed, Booked, Lost, Hold, 40%, 50%, 80%"</formula1>
    </dataValidation>
    <dataValidation type="list" allowBlank="1" showInputMessage="1" showErrorMessage="1" sqref="K3:K43 K46:K47 K49:K50" xr:uid="{DE17348D-4185-4CB4-B215-62978EF80E13}">
      <formula1>"20%, 50%, 70%, 80%"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EBFD-9F76-41B2-9C94-BBC66E482BE9}">
  <dimension ref="A1:XEY22"/>
  <sheetViews>
    <sheetView tabSelected="1" workbookViewId="0">
      <selection activeCell="E15" sqref="E15"/>
    </sheetView>
  </sheetViews>
  <sheetFormatPr defaultColWidth="8.77734375" defaultRowHeight="14.4" x14ac:dyDescent="0.3"/>
  <cols>
    <col min="1" max="1" width="12.6640625" style="28" bestFit="1" customWidth="1"/>
    <col min="2" max="2" width="15.6640625" style="28" bestFit="1" customWidth="1"/>
    <col min="3" max="3" width="15.6640625" style="28" customWidth="1"/>
    <col min="4" max="4" width="25.88671875" style="28" bestFit="1" customWidth="1"/>
    <col min="5" max="5" width="27.44140625" style="28" bestFit="1" customWidth="1"/>
    <col min="6" max="6" width="7.33203125" style="28" bestFit="1" customWidth="1"/>
    <col min="7" max="7" width="16" style="28" bestFit="1" customWidth="1"/>
    <col min="8" max="8" width="14.88671875" style="30" bestFit="1" customWidth="1"/>
    <col min="9" max="9" width="5.44140625" style="85" bestFit="1" customWidth="1"/>
    <col min="10" max="10" width="12.6640625" style="30" bestFit="1" customWidth="1"/>
    <col min="11" max="11" width="11.21875" style="30" bestFit="1" customWidth="1"/>
    <col min="12" max="12" width="15.33203125" style="107" bestFit="1" customWidth="1"/>
    <col min="13" max="13" width="20.109375" style="28" bestFit="1" customWidth="1"/>
    <col min="14" max="14" width="17.21875" style="28" bestFit="1" customWidth="1"/>
    <col min="15" max="16384" width="8.77734375" style="28"/>
  </cols>
  <sheetData>
    <row r="1" spans="1:16379" x14ac:dyDescent="0.3">
      <c r="A1" s="209" t="s">
        <v>55</v>
      </c>
      <c r="B1" s="210" t="s">
        <v>14</v>
      </c>
      <c r="C1" s="210" t="s">
        <v>66</v>
      </c>
      <c r="D1" s="210" t="s">
        <v>16</v>
      </c>
      <c r="E1" s="210" t="s">
        <v>17</v>
      </c>
      <c r="F1" s="210" t="s">
        <v>47</v>
      </c>
      <c r="G1" s="210" t="s">
        <v>18</v>
      </c>
      <c r="H1" s="211" t="s">
        <v>48</v>
      </c>
      <c r="I1" s="110" t="s">
        <v>19</v>
      </c>
      <c r="J1" s="211" t="s">
        <v>49</v>
      </c>
      <c r="K1" s="211" t="s">
        <v>43</v>
      </c>
      <c r="L1" s="212" t="s">
        <v>20</v>
      </c>
      <c r="M1" s="213" t="s">
        <v>220</v>
      </c>
      <c r="N1" s="214" t="s">
        <v>221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  <c r="NC1" s="27"/>
      <c r="ND1" s="27"/>
      <c r="NE1" s="27"/>
      <c r="NF1" s="27"/>
      <c r="NG1" s="27"/>
      <c r="NH1" s="27"/>
      <c r="NI1" s="27"/>
      <c r="NJ1" s="27"/>
      <c r="NK1" s="27"/>
      <c r="NL1" s="27"/>
      <c r="NM1" s="27"/>
      <c r="NN1" s="27"/>
      <c r="NO1" s="27"/>
      <c r="NP1" s="27"/>
      <c r="NQ1" s="27"/>
      <c r="NR1" s="27"/>
      <c r="NS1" s="27"/>
      <c r="NT1" s="27"/>
      <c r="NU1" s="27"/>
      <c r="NV1" s="27"/>
      <c r="NW1" s="27"/>
      <c r="NX1" s="27"/>
      <c r="NY1" s="27"/>
      <c r="NZ1" s="27"/>
      <c r="OA1" s="27"/>
      <c r="OB1" s="27"/>
      <c r="OC1" s="27"/>
      <c r="OD1" s="27"/>
      <c r="OE1" s="27"/>
      <c r="OF1" s="27"/>
      <c r="OG1" s="27"/>
      <c r="OH1" s="27"/>
      <c r="OI1" s="27"/>
      <c r="OJ1" s="27"/>
      <c r="OK1" s="27"/>
      <c r="OL1" s="27"/>
      <c r="OM1" s="27"/>
      <c r="ON1" s="27"/>
      <c r="OO1" s="27"/>
      <c r="OP1" s="27"/>
      <c r="OQ1" s="27"/>
      <c r="OR1" s="27"/>
      <c r="OS1" s="27"/>
      <c r="OT1" s="27"/>
      <c r="OU1" s="27"/>
      <c r="OV1" s="27"/>
      <c r="OW1" s="27"/>
      <c r="OX1" s="27"/>
      <c r="OY1" s="27"/>
      <c r="OZ1" s="27"/>
      <c r="PA1" s="27"/>
      <c r="PB1" s="27"/>
      <c r="PC1" s="27"/>
      <c r="PD1" s="27"/>
      <c r="PE1" s="27"/>
      <c r="PF1" s="27"/>
      <c r="PG1" s="27"/>
      <c r="PH1" s="27"/>
      <c r="PI1" s="27"/>
      <c r="PJ1" s="27"/>
      <c r="PK1" s="27"/>
      <c r="PL1" s="27"/>
      <c r="PM1" s="27"/>
      <c r="PN1" s="27"/>
      <c r="PO1" s="27"/>
      <c r="PP1" s="27"/>
      <c r="PQ1" s="27"/>
      <c r="PR1" s="27"/>
      <c r="PS1" s="27"/>
      <c r="PT1" s="27"/>
      <c r="PU1" s="27"/>
      <c r="PV1" s="27"/>
      <c r="PW1" s="27"/>
      <c r="PX1" s="27"/>
      <c r="PY1" s="27"/>
      <c r="PZ1" s="27"/>
      <c r="QA1" s="27"/>
      <c r="QB1" s="27"/>
      <c r="QC1" s="27"/>
      <c r="QD1" s="27"/>
      <c r="QE1" s="27"/>
      <c r="QF1" s="27"/>
      <c r="QG1" s="27"/>
      <c r="QH1" s="27"/>
      <c r="QI1" s="27"/>
      <c r="QJ1" s="27"/>
      <c r="QK1" s="27"/>
      <c r="QL1" s="27"/>
      <c r="QM1" s="27"/>
      <c r="QN1" s="27"/>
      <c r="QO1" s="27"/>
      <c r="QP1" s="27"/>
      <c r="QQ1" s="27"/>
      <c r="QR1" s="27"/>
      <c r="QS1" s="27"/>
      <c r="QT1" s="27"/>
      <c r="QU1" s="27"/>
      <c r="QV1" s="27"/>
      <c r="QW1" s="27"/>
      <c r="QX1" s="27"/>
      <c r="QY1" s="27"/>
      <c r="QZ1" s="27"/>
      <c r="RA1" s="27"/>
      <c r="RB1" s="27"/>
      <c r="RC1" s="27"/>
      <c r="RD1" s="27"/>
      <c r="RE1" s="27"/>
      <c r="RF1" s="27"/>
      <c r="RG1" s="27"/>
      <c r="RH1" s="27"/>
      <c r="RI1" s="27"/>
      <c r="RJ1" s="27"/>
      <c r="RK1" s="27"/>
      <c r="RL1" s="27"/>
      <c r="RM1" s="27"/>
      <c r="RN1" s="27"/>
      <c r="RO1" s="27"/>
      <c r="RP1" s="27"/>
      <c r="RQ1" s="27"/>
      <c r="RR1" s="27"/>
      <c r="RS1" s="27"/>
      <c r="RT1" s="27"/>
      <c r="RU1" s="27"/>
      <c r="RV1" s="27"/>
      <c r="RW1" s="27"/>
      <c r="RX1" s="27"/>
      <c r="RY1" s="27"/>
      <c r="RZ1" s="27"/>
      <c r="SA1" s="27"/>
      <c r="SB1" s="27"/>
      <c r="SC1" s="27"/>
      <c r="SD1" s="27"/>
      <c r="SE1" s="27"/>
      <c r="SF1" s="27"/>
      <c r="SG1" s="27"/>
      <c r="SH1" s="27"/>
      <c r="SI1" s="27"/>
      <c r="SJ1" s="27"/>
      <c r="SK1" s="27"/>
      <c r="SL1" s="27"/>
      <c r="SM1" s="27"/>
      <c r="SN1" s="27"/>
      <c r="SO1" s="27"/>
      <c r="SP1" s="27"/>
      <c r="SQ1" s="27"/>
      <c r="SR1" s="27"/>
      <c r="SS1" s="27"/>
      <c r="ST1" s="27"/>
      <c r="SU1" s="27"/>
      <c r="SV1" s="27"/>
      <c r="SW1" s="27"/>
      <c r="SX1" s="27"/>
      <c r="SY1" s="27"/>
      <c r="SZ1" s="27"/>
      <c r="TA1" s="27"/>
      <c r="TB1" s="27"/>
      <c r="TC1" s="27"/>
      <c r="TD1" s="27"/>
      <c r="TE1" s="27"/>
      <c r="TF1" s="27"/>
      <c r="TG1" s="27"/>
      <c r="TH1" s="27"/>
      <c r="TI1" s="27"/>
      <c r="TJ1" s="27"/>
      <c r="TK1" s="27"/>
      <c r="TL1" s="27"/>
      <c r="TM1" s="27"/>
      <c r="TN1" s="27"/>
      <c r="TO1" s="27"/>
      <c r="TP1" s="27"/>
      <c r="TQ1" s="27"/>
      <c r="TR1" s="27"/>
      <c r="TS1" s="27"/>
      <c r="TT1" s="27"/>
      <c r="TU1" s="27"/>
      <c r="TV1" s="27"/>
      <c r="TW1" s="27"/>
      <c r="TX1" s="27"/>
      <c r="TY1" s="27"/>
      <c r="TZ1" s="27"/>
      <c r="UA1" s="27"/>
      <c r="UB1" s="27"/>
      <c r="UC1" s="27"/>
      <c r="UD1" s="27"/>
      <c r="UE1" s="27"/>
      <c r="UF1" s="27"/>
      <c r="UG1" s="27"/>
      <c r="UH1" s="27"/>
      <c r="UI1" s="27"/>
      <c r="UJ1" s="27"/>
      <c r="UK1" s="27"/>
      <c r="UL1" s="27"/>
      <c r="UM1" s="27"/>
      <c r="UN1" s="27"/>
      <c r="UO1" s="27"/>
      <c r="UP1" s="27"/>
      <c r="UQ1" s="27"/>
      <c r="UR1" s="27"/>
      <c r="US1" s="27"/>
      <c r="UT1" s="27"/>
      <c r="UU1" s="27"/>
      <c r="UV1" s="27"/>
      <c r="UW1" s="27"/>
      <c r="UX1" s="27"/>
      <c r="UY1" s="27"/>
      <c r="UZ1" s="27"/>
      <c r="VA1" s="27"/>
      <c r="VB1" s="27"/>
      <c r="VC1" s="27"/>
      <c r="VD1" s="27"/>
      <c r="VE1" s="27"/>
      <c r="VF1" s="27"/>
      <c r="VG1" s="27"/>
      <c r="VH1" s="27"/>
      <c r="VI1" s="27"/>
      <c r="VJ1" s="27"/>
      <c r="VK1" s="27"/>
      <c r="VL1" s="27"/>
      <c r="VM1" s="27"/>
      <c r="VN1" s="27"/>
      <c r="VO1" s="27"/>
      <c r="VP1" s="27"/>
      <c r="VQ1" s="27"/>
      <c r="VR1" s="27"/>
      <c r="VS1" s="27"/>
      <c r="VT1" s="27"/>
      <c r="VU1" s="27"/>
      <c r="VV1" s="27"/>
      <c r="VW1" s="27"/>
      <c r="VX1" s="27"/>
      <c r="VY1" s="27"/>
      <c r="VZ1" s="27"/>
      <c r="WA1" s="27"/>
      <c r="WB1" s="27"/>
      <c r="WC1" s="27"/>
      <c r="WD1" s="27"/>
      <c r="WE1" s="27"/>
      <c r="WF1" s="27"/>
      <c r="WG1" s="27"/>
      <c r="WH1" s="27"/>
      <c r="WI1" s="27"/>
      <c r="WJ1" s="27"/>
      <c r="WK1" s="27"/>
      <c r="WL1" s="27"/>
      <c r="WM1" s="27"/>
      <c r="WN1" s="27"/>
      <c r="WO1" s="27"/>
      <c r="WP1" s="27"/>
      <c r="WQ1" s="27"/>
      <c r="WR1" s="27"/>
      <c r="WS1" s="27"/>
      <c r="WT1" s="27"/>
      <c r="WU1" s="27"/>
      <c r="WV1" s="27"/>
      <c r="WW1" s="27"/>
      <c r="WX1" s="27"/>
      <c r="WY1" s="27"/>
      <c r="WZ1" s="27"/>
      <c r="XA1" s="27"/>
      <c r="XB1" s="27"/>
      <c r="XC1" s="27"/>
      <c r="XD1" s="27"/>
      <c r="XE1" s="27"/>
      <c r="XF1" s="27"/>
      <c r="XG1" s="27"/>
      <c r="XH1" s="27"/>
      <c r="XI1" s="27"/>
      <c r="XJ1" s="27"/>
      <c r="XK1" s="27"/>
      <c r="XL1" s="27"/>
      <c r="XM1" s="27"/>
      <c r="XN1" s="27"/>
      <c r="XO1" s="27"/>
      <c r="XP1" s="27"/>
      <c r="XQ1" s="27"/>
      <c r="XR1" s="27"/>
      <c r="XS1" s="27"/>
      <c r="XT1" s="27"/>
      <c r="XU1" s="27"/>
      <c r="XV1" s="27"/>
      <c r="XW1" s="27"/>
      <c r="XX1" s="27"/>
      <c r="XY1" s="27"/>
      <c r="XZ1" s="27"/>
      <c r="YA1" s="27"/>
      <c r="YB1" s="27"/>
      <c r="YC1" s="27"/>
      <c r="YD1" s="27"/>
      <c r="YE1" s="27"/>
      <c r="YF1" s="27"/>
      <c r="YG1" s="27"/>
      <c r="YH1" s="27"/>
      <c r="YI1" s="27"/>
      <c r="YJ1" s="27"/>
      <c r="YK1" s="27"/>
      <c r="YL1" s="27"/>
      <c r="YM1" s="27"/>
      <c r="YN1" s="27"/>
      <c r="YO1" s="27"/>
      <c r="YP1" s="27"/>
      <c r="YQ1" s="27"/>
      <c r="YR1" s="27"/>
      <c r="YS1" s="27"/>
      <c r="YT1" s="27"/>
      <c r="YU1" s="27"/>
      <c r="YV1" s="27"/>
      <c r="YW1" s="27"/>
      <c r="YX1" s="27"/>
      <c r="YY1" s="27"/>
      <c r="YZ1" s="27"/>
      <c r="ZA1" s="27"/>
      <c r="ZB1" s="27"/>
      <c r="ZC1" s="27"/>
      <c r="ZD1" s="27"/>
      <c r="ZE1" s="27"/>
      <c r="ZF1" s="27"/>
      <c r="ZG1" s="27"/>
      <c r="ZH1" s="27"/>
      <c r="ZI1" s="27"/>
      <c r="ZJ1" s="27"/>
      <c r="ZK1" s="27"/>
      <c r="ZL1" s="27"/>
      <c r="ZM1" s="27"/>
      <c r="ZN1" s="27"/>
      <c r="ZO1" s="27"/>
      <c r="ZP1" s="27"/>
      <c r="ZQ1" s="27"/>
      <c r="ZR1" s="27"/>
      <c r="ZS1" s="27"/>
      <c r="ZT1" s="27"/>
      <c r="ZU1" s="27"/>
      <c r="ZV1" s="27"/>
      <c r="ZW1" s="27"/>
      <c r="ZX1" s="27"/>
      <c r="ZY1" s="27"/>
      <c r="ZZ1" s="27"/>
      <c r="AAA1" s="27"/>
      <c r="AAB1" s="27"/>
      <c r="AAC1" s="27"/>
      <c r="AAD1" s="27"/>
      <c r="AAE1" s="27"/>
      <c r="AAF1" s="27"/>
      <c r="AAG1" s="27"/>
      <c r="AAH1" s="27"/>
      <c r="AAI1" s="27"/>
      <c r="AAJ1" s="27"/>
      <c r="AAK1" s="27"/>
      <c r="AAL1" s="27"/>
      <c r="AAM1" s="27"/>
      <c r="AAN1" s="27"/>
      <c r="AAO1" s="27"/>
      <c r="AAP1" s="27"/>
      <c r="AAQ1" s="27"/>
      <c r="AAR1" s="27"/>
      <c r="AAS1" s="27"/>
      <c r="AAT1" s="27"/>
      <c r="AAU1" s="27"/>
      <c r="AAV1" s="27"/>
      <c r="AAW1" s="27"/>
      <c r="AAX1" s="27"/>
      <c r="AAY1" s="27"/>
      <c r="AAZ1" s="27"/>
      <c r="ABA1" s="27"/>
      <c r="ABB1" s="27"/>
      <c r="ABC1" s="27"/>
      <c r="ABD1" s="27"/>
      <c r="ABE1" s="27"/>
      <c r="ABF1" s="27"/>
      <c r="ABG1" s="27"/>
      <c r="ABH1" s="27"/>
      <c r="ABI1" s="27"/>
      <c r="ABJ1" s="27"/>
      <c r="ABK1" s="27"/>
      <c r="ABL1" s="27"/>
      <c r="ABM1" s="27"/>
      <c r="ABN1" s="27"/>
      <c r="ABO1" s="27"/>
      <c r="ABP1" s="27"/>
      <c r="ABQ1" s="27"/>
      <c r="ABR1" s="27"/>
      <c r="ABS1" s="27"/>
      <c r="ABT1" s="27"/>
      <c r="ABU1" s="27"/>
      <c r="ABV1" s="27"/>
      <c r="ABW1" s="27"/>
      <c r="ABX1" s="27"/>
      <c r="ABY1" s="27"/>
      <c r="ABZ1" s="27"/>
      <c r="ACA1" s="27"/>
      <c r="ACB1" s="27"/>
      <c r="ACC1" s="27"/>
      <c r="ACD1" s="27"/>
      <c r="ACE1" s="27"/>
      <c r="ACF1" s="27"/>
      <c r="ACG1" s="27"/>
      <c r="ACH1" s="27"/>
      <c r="ACI1" s="27"/>
      <c r="ACJ1" s="27"/>
      <c r="ACK1" s="27"/>
      <c r="ACL1" s="27"/>
      <c r="ACM1" s="27"/>
      <c r="ACN1" s="27"/>
      <c r="ACO1" s="27"/>
      <c r="ACP1" s="27"/>
      <c r="ACQ1" s="27"/>
      <c r="ACR1" s="27"/>
      <c r="ACS1" s="27"/>
      <c r="ACT1" s="27"/>
      <c r="ACU1" s="27"/>
      <c r="ACV1" s="27"/>
      <c r="ACW1" s="27"/>
      <c r="ACX1" s="27"/>
      <c r="ACY1" s="27"/>
      <c r="ACZ1" s="27"/>
      <c r="ADA1" s="27"/>
      <c r="ADB1" s="27"/>
      <c r="ADC1" s="27"/>
      <c r="ADD1" s="27"/>
      <c r="ADE1" s="27"/>
      <c r="ADF1" s="27"/>
      <c r="ADG1" s="27"/>
      <c r="ADH1" s="27"/>
      <c r="ADI1" s="27"/>
      <c r="ADJ1" s="27"/>
      <c r="ADK1" s="27"/>
      <c r="ADL1" s="27"/>
      <c r="ADM1" s="27"/>
      <c r="ADN1" s="27"/>
      <c r="ADO1" s="27"/>
      <c r="ADP1" s="27"/>
      <c r="ADQ1" s="27"/>
      <c r="ADR1" s="27"/>
      <c r="ADS1" s="27"/>
      <c r="ADT1" s="27"/>
      <c r="ADU1" s="27"/>
      <c r="ADV1" s="27"/>
      <c r="ADW1" s="27"/>
      <c r="ADX1" s="27"/>
      <c r="ADY1" s="27"/>
      <c r="ADZ1" s="27"/>
      <c r="AEA1" s="27"/>
      <c r="AEB1" s="27"/>
      <c r="AEC1" s="27"/>
      <c r="AED1" s="27"/>
      <c r="AEE1" s="27"/>
      <c r="AEF1" s="27"/>
      <c r="AEG1" s="27"/>
      <c r="AEH1" s="27"/>
      <c r="AEI1" s="27"/>
      <c r="AEJ1" s="27"/>
      <c r="AEK1" s="27"/>
      <c r="AEL1" s="27"/>
      <c r="AEM1" s="27"/>
      <c r="AEN1" s="27"/>
      <c r="AEO1" s="27"/>
      <c r="AEP1" s="27"/>
      <c r="AEQ1" s="27"/>
      <c r="AER1" s="27"/>
      <c r="AES1" s="27"/>
      <c r="AET1" s="27"/>
      <c r="AEU1" s="27"/>
      <c r="AEV1" s="27"/>
      <c r="AEW1" s="27"/>
      <c r="AEX1" s="27"/>
      <c r="AEY1" s="27"/>
      <c r="AEZ1" s="27"/>
      <c r="AFA1" s="27"/>
      <c r="AFB1" s="27"/>
      <c r="AFC1" s="27"/>
      <c r="AFD1" s="27"/>
      <c r="AFE1" s="27"/>
      <c r="AFF1" s="27"/>
      <c r="AFG1" s="27"/>
      <c r="AFH1" s="27"/>
      <c r="AFI1" s="27"/>
      <c r="AFJ1" s="27"/>
      <c r="AFK1" s="27"/>
      <c r="AFL1" s="27"/>
      <c r="AFM1" s="27"/>
      <c r="AFN1" s="27"/>
      <c r="AFO1" s="27"/>
      <c r="AFP1" s="27"/>
      <c r="AFQ1" s="27"/>
      <c r="AFR1" s="27"/>
      <c r="AFS1" s="27"/>
      <c r="AFT1" s="27"/>
      <c r="AFU1" s="27"/>
      <c r="AFV1" s="27"/>
      <c r="AFW1" s="27"/>
      <c r="AFX1" s="27"/>
      <c r="AFY1" s="27"/>
      <c r="AFZ1" s="27"/>
      <c r="AGA1" s="27"/>
      <c r="AGB1" s="27"/>
      <c r="AGC1" s="27"/>
      <c r="AGD1" s="27"/>
      <c r="AGE1" s="27"/>
      <c r="AGF1" s="27"/>
      <c r="AGG1" s="27"/>
      <c r="AGH1" s="27"/>
      <c r="AGI1" s="27"/>
      <c r="AGJ1" s="27"/>
      <c r="AGK1" s="27"/>
      <c r="AGL1" s="27"/>
      <c r="AGM1" s="27"/>
      <c r="AGN1" s="27"/>
      <c r="AGO1" s="27"/>
      <c r="AGP1" s="27"/>
      <c r="AGQ1" s="27"/>
      <c r="AGR1" s="27"/>
      <c r="AGS1" s="27"/>
      <c r="AGT1" s="27"/>
      <c r="AGU1" s="27"/>
      <c r="AGV1" s="27"/>
      <c r="AGW1" s="27"/>
      <c r="AGX1" s="27"/>
      <c r="AGY1" s="27"/>
      <c r="AGZ1" s="27"/>
      <c r="AHA1" s="27"/>
      <c r="AHB1" s="27"/>
      <c r="AHC1" s="27"/>
      <c r="AHD1" s="27"/>
      <c r="AHE1" s="27"/>
      <c r="AHF1" s="27"/>
      <c r="AHG1" s="27"/>
      <c r="AHH1" s="27"/>
      <c r="AHI1" s="27"/>
      <c r="AHJ1" s="27"/>
      <c r="AHK1" s="27"/>
      <c r="AHL1" s="27"/>
      <c r="AHM1" s="27"/>
      <c r="AHN1" s="27"/>
      <c r="AHO1" s="27"/>
      <c r="AHP1" s="27"/>
      <c r="AHQ1" s="27"/>
      <c r="AHR1" s="27"/>
      <c r="AHS1" s="27"/>
      <c r="AHT1" s="27"/>
      <c r="AHU1" s="27"/>
      <c r="AHV1" s="27"/>
      <c r="AHW1" s="27"/>
      <c r="AHX1" s="27"/>
      <c r="AHY1" s="27"/>
      <c r="AHZ1" s="27"/>
      <c r="AIA1" s="27"/>
      <c r="AIB1" s="27"/>
      <c r="AIC1" s="27"/>
      <c r="AID1" s="27"/>
      <c r="AIE1" s="27"/>
      <c r="AIF1" s="27"/>
      <c r="AIG1" s="27"/>
      <c r="AIH1" s="27"/>
      <c r="AII1" s="27"/>
      <c r="AIJ1" s="27"/>
      <c r="AIK1" s="27"/>
      <c r="AIL1" s="27"/>
      <c r="AIM1" s="27"/>
      <c r="AIN1" s="27"/>
      <c r="AIO1" s="27"/>
      <c r="AIP1" s="27"/>
      <c r="AIQ1" s="27"/>
      <c r="AIR1" s="27"/>
      <c r="AIS1" s="27"/>
      <c r="AIT1" s="27"/>
      <c r="AIU1" s="27"/>
      <c r="AIV1" s="27"/>
      <c r="AIW1" s="27"/>
      <c r="AIX1" s="27"/>
      <c r="AIY1" s="27"/>
      <c r="AIZ1" s="27"/>
      <c r="AJA1" s="27"/>
      <c r="AJB1" s="27"/>
      <c r="AJC1" s="27"/>
      <c r="AJD1" s="27"/>
      <c r="AJE1" s="27"/>
      <c r="AJF1" s="27"/>
      <c r="AJG1" s="27"/>
      <c r="AJH1" s="27"/>
      <c r="AJI1" s="27"/>
      <c r="AJJ1" s="27"/>
      <c r="AJK1" s="27"/>
      <c r="AJL1" s="27"/>
      <c r="AJM1" s="27"/>
      <c r="AJN1" s="27"/>
      <c r="AJO1" s="27"/>
      <c r="AJP1" s="27"/>
      <c r="AJQ1" s="27"/>
      <c r="AJR1" s="27"/>
      <c r="AJS1" s="27"/>
      <c r="AJT1" s="27"/>
      <c r="AJU1" s="27"/>
      <c r="AJV1" s="27"/>
      <c r="AJW1" s="27"/>
      <c r="AJX1" s="27"/>
      <c r="AJY1" s="27"/>
      <c r="AJZ1" s="27"/>
      <c r="AKA1" s="27"/>
      <c r="AKB1" s="27"/>
      <c r="AKC1" s="27"/>
      <c r="AKD1" s="27"/>
      <c r="AKE1" s="27"/>
      <c r="AKF1" s="27"/>
      <c r="AKG1" s="27"/>
      <c r="AKH1" s="27"/>
      <c r="AKI1" s="27"/>
      <c r="AKJ1" s="27"/>
      <c r="AKK1" s="27"/>
      <c r="AKL1" s="27"/>
      <c r="AKM1" s="27"/>
      <c r="AKN1" s="27"/>
      <c r="AKO1" s="27"/>
      <c r="AKP1" s="27"/>
      <c r="AKQ1" s="27"/>
      <c r="AKR1" s="27"/>
      <c r="AKS1" s="27"/>
      <c r="AKT1" s="27"/>
      <c r="AKU1" s="27"/>
      <c r="AKV1" s="27"/>
      <c r="AKW1" s="27"/>
      <c r="AKX1" s="27"/>
      <c r="AKY1" s="27"/>
      <c r="AKZ1" s="27"/>
      <c r="ALA1" s="27"/>
      <c r="ALB1" s="27"/>
      <c r="ALC1" s="27"/>
      <c r="ALD1" s="27"/>
      <c r="ALE1" s="27"/>
      <c r="ALF1" s="27"/>
      <c r="ALG1" s="27"/>
      <c r="ALH1" s="27"/>
      <c r="ALI1" s="27"/>
      <c r="ALJ1" s="27"/>
      <c r="ALK1" s="27"/>
      <c r="ALL1" s="27"/>
      <c r="ALM1" s="27"/>
      <c r="ALN1" s="27"/>
      <c r="ALO1" s="27"/>
      <c r="ALP1" s="27"/>
      <c r="ALQ1" s="27"/>
      <c r="ALR1" s="27"/>
      <c r="ALS1" s="27"/>
      <c r="ALT1" s="27"/>
      <c r="ALU1" s="27"/>
      <c r="ALV1" s="27"/>
      <c r="ALW1" s="27"/>
      <c r="ALX1" s="27"/>
      <c r="ALY1" s="27"/>
      <c r="ALZ1" s="27"/>
      <c r="AMA1" s="27"/>
      <c r="AMB1" s="27"/>
      <c r="AMC1" s="27"/>
      <c r="AMD1" s="27"/>
      <c r="AME1" s="27"/>
      <c r="AMF1" s="27"/>
      <c r="AMG1" s="27"/>
      <c r="AMH1" s="27"/>
      <c r="AMI1" s="27"/>
      <c r="AMJ1" s="27"/>
      <c r="AMK1" s="27"/>
      <c r="AML1" s="27"/>
      <c r="AMM1" s="27"/>
      <c r="AMN1" s="27"/>
      <c r="AMO1" s="27"/>
      <c r="AMP1" s="27"/>
      <c r="AMQ1" s="27"/>
      <c r="AMR1" s="27"/>
      <c r="AMS1" s="27"/>
      <c r="AMT1" s="27"/>
      <c r="AMU1" s="27"/>
      <c r="AMV1" s="27"/>
      <c r="AMW1" s="27"/>
      <c r="AMX1" s="27"/>
      <c r="AMY1" s="27"/>
      <c r="AMZ1" s="27"/>
      <c r="ANA1" s="27"/>
      <c r="ANB1" s="27"/>
      <c r="ANC1" s="27"/>
      <c r="AND1" s="27"/>
      <c r="ANE1" s="27"/>
      <c r="ANF1" s="27"/>
      <c r="ANG1" s="27"/>
      <c r="ANH1" s="27"/>
      <c r="ANI1" s="27"/>
      <c r="ANJ1" s="27"/>
      <c r="ANK1" s="27"/>
      <c r="ANL1" s="27"/>
      <c r="ANM1" s="27"/>
      <c r="ANN1" s="27"/>
      <c r="ANO1" s="27"/>
      <c r="ANP1" s="27"/>
      <c r="ANQ1" s="27"/>
      <c r="ANR1" s="27"/>
      <c r="ANS1" s="27"/>
      <c r="ANT1" s="27"/>
      <c r="ANU1" s="27"/>
      <c r="ANV1" s="27"/>
      <c r="ANW1" s="27"/>
      <c r="ANX1" s="27"/>
      <c r="ANY1" s="27"/>
      <c r="ANZ1" s="27"/>
      <c r="AOA1" s="27"/>
      <c r="AOB1" s="27"/>
      <c r="AOC1" s="27"/>
      <c r="AOD1" s="27"/>
      <c r="AOE1" s="27"/>
      <c r="AOF1" s="27"/>
      <c r="AOG1" s="27"/>
      <c r="AOH1" s="27"/>
      <c r="AOI1" s="27"/>
      <c r="AOJ1" s="27"/>
      <c r="AOK1" s="27"/>
      <c r="AOL1" s="27"/>
      <c r="AOM1" s="27"/>
      <c r="AON1" s="27"/>
      <c r="AOO1" s="27"/>
      <c r="AOP1" s="27"/>
      <c r="AOQ1" s="27"/>
      <c r="AOR1" s="27"/>
      <c r="AOS1" s="27"/>
      <c r="AOT1" s="27"/>
      <c r="AOU1" s="27"/>
      <c r="AOV1" s="27"/>
      <c r="AOW1" s="27"/>
      <c r="AOX1" s="27"/>
      <c r="AOY1" s="27"/>
      <c r="AOZ1" s="27"/>
      <c r="APA1" s="27"/>
      <c r="APB1" s="27"/>
      <c r="APC1" s="27"/>
      <c r="APD1" s="27"/>
      <c r="APE1" s="27"/>
      <c r="APF1" s="27"/>
      <c r="APG1" s="27"/>
      <c r="APH1" s="27"/>
      <c r="API1" s="27"/>
      <c r="APJ1" s="27"/>
      <c r="APK1" s="27"/>
      <c r="APL1" s="27"/>
      <c r="APM1" s="27"/>
      <c r="APN1" s="27"/>
      <c r="APO1" s="27"/>
      <c r="APP1" s="27"/>
      <c r="APQ1" s="27"/>
      <c r="APR1" s="27"/>
      <c r="APS1" s="27"/>
      <c r="APT1" s="27"/>
      <c r="APU1" s="27"/>
      <c r="APV1" s="27"/>
      <c r="APW1" s="27"/>
      <c r="APX1" s="27"/>
      <c r="APY1" s="27"/>
      <c r="APZ1" s="27"/>
      <c r="AQA1" s="27"/>
      <c r="AQB1" s="27"/>
      <c r="AQC1" s="27"/>
      <c r="AQD1" s="27"/>
      <c r="AQE1" s="27"/>
      <c r="AQF1" s="27"/>
      <c r="AQG1" s="27"/>
      <c r="AQH1" s="27"/>
      <c r="AQI1" s="27"/>
      <c r="AQJ1" s="27"/>
      <c r="AQK1" s="27"/>
      <c r="AQL1" s="27"/>
      <c r="AQM1" s="27"/>
      <c r="AQN1" s="27"/>
      <c r="AQO1" s="27"/>
      <c r="AQP1" s="27"/>
      <c r="AQQ1" s="27"/>
      <c r="AQR1" s="27"/>
      <c r="AQS1" s="27"/>
      <c r="AQT1" s="27"/>
      <c r="AQU1" s="27"/>
      <c r="AQV1" s="27"/>
      <c r="AQW1" s="27"/>
      <c r="AQX1" s="27"/>
      <c r="AQY1" s="27"/>
      <c r="AQZ1" s="27"/>
      <c r="ARA1" s="27"/>
      <c r="ARB1" s="27"/>
      <c r="ARC1" s="27"/>
      <c r="ARD1" s="27"/>
      <c r="ARE1" s="27"/>
      <c r="ARF1" s="27"/>
      <c r="ARG1" s="27"/>
      <c r="ARH1" s="27"/>
      <c r="ARI1" s="27"/>
      <c r="ARJ1" s="27"/>
      <c r="ARK1" s="27"/>
      <c r="ARL1" s="27"/>
      <c r="ARM1" s="27"/>
      <c r="ARN1" s="27"/>
      <c r="ARO1" s="27"/>
      <c r="ARP1" s="27"/>
      <c r="ARQ1" s="27"/>
      <c r="ARR1" s="27"/>
      <c r="ARS1" s="27"/>
      <c r="ART1" s="27"/>
      <c r="ARU1" s="27"/>
      <c r="ARV1" s="27"/>
      <c r="ARW1" s="27"/>
      <c r="ARX1" s="27"/>
      <c r="ARY1" s="27"/>
      <c r="ARZ1" s="27"/>
      <c r="ASA1" s="27"/>
      <c r="ASB1" s="27"/>
      <c r="ASC1" s="27"/>
      <c r="ASD1" s="27"/>
      <c r="ASE1" s="27"/>
      <c r="ASF1" s="27"/>
      <c r="ASG1" s="27"/>
      <c r="ASH1" s="27"/>
      <c r="ASI1" s="27"/>
      <c r="ASJ1" s="27"/>
      <c r="ASK1" s="27"/>
      <c r="ASL1" s="27"/>
      <c r="ASM1" s="27"/>
      <c r="ASN1" s="27"/>
      <c r="ASO1" s="27"/>
      <c r="ASP1" s="27"/>
      <c r="ASQ1" s="27"/>
      <c r="ASR1" s="27"/>
      <c r="ASS1" s="27"/>
      <c r="AST1" s="27"/>
      <c r="ASU1" s="27"/>
      <c r="ASV1" s="27"/>
      <c r="ASW1" s="27"/>
      <c r="ASX1" s="27"/>
      <c r="ASY1" s="27"/>
      <c r="ASZ1" s="27"/>
      <c r="ATA1" s="27"/>
      <c r="ATB1" s="27"/>
      <c r="ATC1" s="27"/>
      <c r="ATD1" s="27"/>
      <c r="ATE1" s="27"/>
      <c r="ATF1" s="27"/>
      <c r="ATG1" s="27"/>
      <c r="ATH1" s="27"/>
      <c r="ATI1" s="27"/>
      <c r="ATJ1" s="27"/>
      <c r="ATK1" s="27"/>
      <c r="ATL1" s="27"/>
      <c r="ATM1" s="27"/>
      <c r="ATN1" s="27"/>
      <c r="ATO1" s="27"/>
      <c r="ATP1" s="27"/>
      <c r="ATQ1" s="27"/>
      <c r="ATR1" s="27"/>
      <c r="ATS1" s="27"/>
      <c r="ATT1" s="27"/>
      <c r="ATU1" s="27"/>
      <c r="ATV1" s="27"/>
      <c r="ATW1" s="27"/>
      <c r="ATX1" s="27"/>
      <c r="ATY1" s="27"/>
      <c r="ATZ1" s="27"/>
      <c r="AUA1" s="27"/>
      <c r="AUB1" s="27"/>
      <c r="AUC1" s="27"/>
      <c r="AUD1" s="27"/>
      <c r="AUE1" s="27"/>
      <c r="AUF1" s="27"/>
      <c r="AUG1" s="27"/>
      <c r="AUH1" s="27"/>
      <c r="AUI1" s="27"/>
      <c r="AUJ1" s="27"/>
      <c r="AUK1" s="27"/>
      <c r="AUL1" s="27"/>
      <c r="AUM1" s="27"/>
      <c r="AUN1" s="27"/>
      <c r="AUO1" s="27"/>
      <c r="AUP1" s="27"/>
      <c r="AUQ1" s="27"/>
      <c r="AUR1" s="27"/>
      <c r="AUS1" s="27"/>
      <c r="AUT1" s="27"/>
      <c r="AUU1" s="27"/>
      <c r="AUV1" s="27"/>
      <c r="AUW1" s="27"/>
      <c r="AUX1" s="27"/>
      <c r="AUY1" s="27"/>
      <c r="AUZ1" s="27"/>
      <c r="AVA1" s="27"/>
      <c r="AVB1" s="27"/>
      <c r="AVC1" s="27"/>
      <c r="AVD1" s="27"/>
      <c r="AVE1" s="27"/>
      <c r="AVF1" s="27"/>
      <c r="AVG1" s="27"/>
      <c r="AVH1" s="27"/>
      <c r="AVI1" s="27"/>
      <c r="AVJ1" s="27"/>
      <c r="AVK1" s="27"/>
      <c r="AVL1" s="27"/>
      <c r="AVM1" s="27"/>
      <c r="AVN1" s="27"/>
      <c r="AVO1" s="27"/>
      <c r="AVP1" s="27"/>
      <c r="AVQ1" s="27"/>
      <c r="AVR1" s="27"/>
      <c r="AVS1" s="27"/>
      <c r="AVT1" s="27"/>
      <c r="AVU1" s="27"/>
      <c r="AVV1" s="27"/>
      <c r="AVW1" s="27"/>
      <c r="AVX1" s="27"/>
      <c r="AVY1" s="27"/>
      <c r="AVZ1" s="27"/>
      <c r="AWA1" s="27"/>
      <c r="AWB1" s="27"/>
      <c r="AWC1" s="27"/>
      <c r="AWD1" s="27"/>
      <c r="AWE1" s="27"/>
      <c r="AWF1" s="27"/>
      <c r="AWG1" s="27"/>
      <c r="AWH1" s="27"/>
      <c r="AWI1" s="27"/>
      <c r="AWJ1" s="27"/>
      <c r="AWK1" s="27"/>
      <c r="AWL1" s="27"/>
      <c r="AWM1" s="27"/>
      <c r="AWN1" s="27"/>
      <c r="AWO1" s="27"/>
      <c r="AWP1" s="27"/>
      <c r="AWQ1" s="27"/>
      <c r="AWR1" s="27"/>
      <c r="AWS1" s="27"/>
      <c r="AWT1" s="27"/>
      <c r="AWU1" s="27"/>
      <c r="AWV1" s="27"/>
      <c r="AWW1" s="27"/>
      <c r="AWX1" s="27"/>
      <c r="AWY1" s="27"/>
      <c r="AWZ1" s="27"/>
      <c r="AXA1" s="27"/>
      <c r="AXB1" s="27"/>
      <c r="AXC1" s="27"/>
      <c r="AXD1" s="27"/>
      <c r="AXE1" s="27"/>
      <c r="AXF1" s="27"/>
      <c r="AXG1" s="27"/>
      <c r="AXH1" s="27"/>
      <c r="AXI1" s="27"/>
      <c r="AXJ1" s="27"/>
      <c r="AXK1" s="27"/>
      <c r="AXL1" s="27"/>
      <c r="AXM1" s="27"/>
      <c r="AXN1" s="27"/>
      <c r="AXO1" s="27"/>
      <c r="AXP1" s="27"/>
      <c r="AXQ1" s="27"/>
      <c r="AXR1" s="27"/>
      <c r="AXS1" s="27"/>
      <c r="AXT1" s="27"/>
      <c r="AXU1" s="27"/>
      <c r="AXV1" s="27"/>
      <c r="AXW1" s="27"/>
      <c r="AXX1" s="27"/>
      <c r="AXY1" s="27"/>
      <c r="AXZ1" s="27"/>
      <c r="AYA1" s="27"/>
      <c r="AYB1" s="27"/>
      <c r="AYC1" s="27"/>
      <c r="AYD1" s="27"/>
      <c r="AYE1" s="27"/>
      <c r="AYF1" s="27"/>
      <c r="AYG1" s="27"/>
      <c r="AYH1" s="27"/>
      <c r="AYI1" s="27"/>
      <c r="AYJ1" s="27"/>
      <c r="AYK1" s="27"/>
      <c r="AYL1" s="27"/>
      <c r="AYM1" s="27"/>
      <c r="AYN1" s="27"/>
      <c r="AYO1" s="27"/>
      <c r="AYP1" s="27"/>
      <c r="AYQ1" s="27"/>
      <c r="AYR1" s="27"/>
      <c r="AYS1" s="27"/>
      <c r="AYT1" s="27"/>
      <c r="AYU1" s="27"/>
      <c r="AYV1" s="27"/>
      <c r="AYW1" s="27"/>
      <c r="AYX1" s="27"/>
      <c r="AYY1" s="27"/>
      <c r="AYZ1" s="27"/>
      <c r="AZA1" s="27"/>
      <c r="AZB1" s="27"/>
      <c r="AZC1" s="27"/>
      <c r="AZD1" s="27"/>
      <c r="AZE1" s="27"/>
      <c r="AZF1" s="27"/>
      <c r="AZG1" s="27"/>
      <c r="AZH1" s="27"/>
      <c r="AZI1" s="27"/>
      <c r="AZJ1" s="27"/>
      <c r="AZK1" s="27"/>
      <c r="AZL1" s="27"/>
      <c r="AZM1" s="27"/>
      <c r="AZN1" s="27"/>
      <c r="AZO1" s="27"/>
      <c r="AZP1" s="27"/>
      <c r="AZQ1" s="27"/>
      <c r="AZR1" s="27"/>
      <c r="AZS1" s="27"/>
      <c r="AZT1" s="27"/>
      <c r="AZU1" s="27"/>
      <c r="AZV1" s="27"/>
      <c r="AZW1" s="27"/>
      <c r="AZX1" s="27"/>
      <c r="AZY1" s="27"/>
      <c r="AZZ1" s="27"/>
      <c r="BAA1" s="27"/>
      <c r="BAB1" s="27"/>
      <c r="BAC1" s="27"/>
      <c r="BAD1" s="27"/>
      <c r="BAE1" s="27"/>
      <c r="BAF1" s="27"/>
      <c r="BAG1" s="27"/>
      <c r="BAH1" s="27"/>
      <c r="BAI1" s="27"/>
      <c r="BAJ1" s="27"/>
      <c r="BAK1" s="27"/>
      <c r="BAL1" s="27"/>
      <c r="BAM1" s="27"/>
      <c r="BAN1" s="27"/>
      <c r="BAO1" s="27"/>
      <c r="BAP1" s="27"/>
      <c r="BAQ1" s="27"/>
      <c r="BAR1" s="27"/>
      <c r="BAS1" s="27"/>
      <c r="BAT1" s="27"/>
      <c r="BAU1" s="27"/>
      <c r="BAV1" s="27"/>
      <c r="BAW1" s="27"/>
      <c r="BAX1" s="27"/>
      <c r="BAY1" s="27"/>
      <c r="BAZ1" s="27"/>
      <c r="BBA1" s="27"/>
      <c r="BBB1" s="27"/>
      <c r="BBC1" s="27"/>
      <c r="BBD1" s="27"/>
      <c r="BBE1" s="27"/>
      <c r="BBF1" s="27"/>
      <c r="BBG1" s="27"/>
      <c r="BBH1" s="27"/>
      <c r="BBI1" s="27"/>
      <c r="BBJ1" s="27"/>
      <c r="BBK1" s="27"/>
      <c r="BBL1" s="27"/>
      <c r="BBM1" s="27"/>
      <c r="BBN1" s="27"/>
      <c r="BBO1" s="27"/>
      <c r="BBP1" s="27"/>
      <c r="BBQ1" s="27"/>
      <c r="BBR1" s="27"/>
      <c r="BBS1" s="27"/>
      <c r="BBT1" s="27"/>
      <c r="BBU1" s="27"/>
      <c r="BBV1" s="27"/>
      <c r="BBW1" s="27"/>
      <c r="BBX1" s="27"/>
      <c r="BBY1" s="27"/>
      <c r="BBZ1" s="27"/>
      <c r="BCA1" s="27"/>
      <c r="BCB1" s="27"/>
      <c r="BCC1" s="27"/>
      <c r="BCD1" s="27"/>
      <c r="BCE1" s="27"/>
      <c r="BCF1" s="27"/>
      <c r="BCG1" s="27"/>
      <c r="BCH1" s="27"/>
      <c r="BCI1" s="27"/>
      <c r="BCJ1" s="27"/>
      <c r="BCK1" s="27"/>
      <c r="BCL1" s="27"/>
      <c r="BCM1" s="27"/>
      <c r="BCN1" s="27"/>
      <c r="BCO1" s="27"/>
      <c r="BCP1" s="27"/>
      <c r="BCQ1" s="27"/>
      <c r="BCR1" s="27"/>
      <c r="BCS1" s="27"/>
      <c r="BCT1" s="27"/>
      <c r="BCU1" s="27"/>
      <c r="BCV1" s="27"/>
      <c r="BCW1" s="27"/>
      <c r="BCX1" s="27"/>
      <c r="BCY1" s="27"/>
      <c r="BCZ1" s="27"/>
      <c r="BDA1" s="27"/>
      <c r="BDB1" s="27"/>
      <c r="BDC1" s="27"/>
      <c r="BDD1" s="27"/>
      <c r="BDE1" s="27"/>
      <c r="BDF1" s="27"/>
      <c r="BDG1" s="27"/>
      <c r="BDH1" s="27"/>
      <c r="BDI1" s="27"/>
      <c r="BDJ1" s="27"/>
      <c r="BDK1" s="27"/>
      <c r="BDL1" s="27"/>
      <c r="BDM1" s="27"/>
      <c r="BDN1" s="27"/>
      <c r="BDO1" s="27"/>
      <c r="BDP1" s="27"/>
      <c r="BDQ1" s="27"/>
      <c r="BDR1" s="27"/>
      <c r="BDS1" s="27"/>
      <c r="BDT1" s="27"/>
      <c r="BDU1" s="27"/>
      <c r="BDV1" s="27"/>
      <c r="BDW1" s="27"/>
      <c r="BDX1" s="27"/>
      <c r="BDY1" s="27"/>
      <c r="BDZ1" s="27"/>
      <c r="BEA1" s="27"/>
      <c r="BEB1" s="27"/>
      <c r="BEC1" s="27"/>
      <c r="BED1" s="27"/>
      <c r="BEE1" s="27"/>
      <c r="BEF1" s="27"/>
      <c r="BEG1" s="27"/>
      <c r="BEH1" s="27"/>
      <c r="BEI1" s="27"/>
      <c r="BEJ1" s="27"/>
      <c r="BEK1" s="27"/>
      <c r="BEL1" s="27"/>
      <c r="BEM1" s="27"/>
      <c r="BEN1" s="27"/>
      <c r="BEO1" s="27"/>
      <c r="BEP1" s="27"/>
      <c r="BEQ1" s="27"/>
      <c r="BER1" s="27"/>
      <c r="BES1" s="27"/>
      <c r="BET1" s="27"/>
      <c r="BEU1" s="27"/>
      <c r="BEV1" s="27"/>
      <c r="BEW1" s="27"/>
      <c r="BEX1" s="27"/>
      <c r="BEY1" s="27"/>
      <c r="BEZ1" s="27"/>
      <c r="BFA1" s="27"/>
      <c r="BFB1" s="27"/>
      <c r="BFC1" s="27"/>
      <c r="BFD1" s="27"/>
      <c r="BFE1" s="27"/>
      <c r="BFF1" s="27"/>
      <c r="BFG1" s="27"/>
      <c r="BFH1" s="27"/>
      <c r="BFI1" s="27"/>
      <c r="BFJ1" s="27"/>
      <c r="BFK1" s="27"/>
      <c r="BFL1" s="27"/>
      <c r="BFM1" s="27"/>
      <c r="BFN1" s="27"/>
      <c r="BFO1" s="27"/>
      <c r="BFP1" s="27"/>
      <c r="BFQ1" s="27"/>
      <c r="BFR1" s="27"/>
      <c r="BFS1" s="27"/>
      <c r="BFT1" s="27"/>
      <c r="BFU1" s="27"/>
      <c r="BFV1" s="27"/>
      <c r="BFW1" s="27"/>
      <c r="BFX1" s="27"/>
      <c r="BFY1" s="27"/>
      <c r="BFZ1" s="27"/>
      <c r="BGA1" s="27"/>
      <c r="BGB1" s="27"/>
      <c r="BGC1" s="27"/>
      <c r="BGD1" s="27"/>
      <c r="BGE1" s="27"/>
      <c r="BGF1" s="27"/>
      <c r="BGG1" s="27"/>
      <c r="BGH1" s="27"/>
      <c r="BGI1" s="27"/>
      <c r="BGJ1" s="27"/>
      <c r="BGK1" s="27"/>
      <c r="BGL1" s="27"/>
      <c r="BGM1" s="27"/>
      <c r="BGN1" s="27"/>
      <c r="BGO1" s="27"/>
      <c r="BGP1" s="27"/>
      <c r="BGQ1" s="27"/>
      <c r="BGR1" s="27"/>
      <c r="BGS1" s="27"/>
      <c r="BGT1" s="27"/>
      <c r="BGU1" s="27"/>
      <c r="BGV1" s="27"/>
      <c r="BGW1" s="27"/>
      <c r="BGX1" s="27"/>
      <c r="BGY1" s="27"/>
      <c r="BGZ1" s="27"/>
      <c r="BHA1" s="27"/>
      <c r="BHB1" s="27"/>
      <c r="BHC1" s="27"/>
      <c r="BHD1" s="27"/>
      <c r="BHE1" s="27"/>
      <c r="BHF1" s="27"/>
      <c r="BHG1" s="27"/>
      <c r="BHH1" s="27"/>
      <c r="BHI1" s="27"/>
      <c r="BHJ1" s="27"/>
      <c r="BHK1" s="27"/>
      <c r="BHL1" s="27"/>
      <c r="BHM1" s="27"/>
      <c r="BHN1" s="27"/>
      <c r="BHO1" s="27"/>
      <c r="BHP1" s="27"/>
      <c r="BHQ1" s="27"/>
      <c r="BHR1" s="27"/>
      <c r="BHS1" s="27"/>
      <c r="BHT1" s="27"/>
      <c r="BHU1" s="27"/>
      <c r="BHV1" s="27"/>
      <c r="BHW1" s="27"/>
      <c r="BHX1" s="27"/>
      <c r="BHY1" s="27"/>
      <c r="BHZ1" s="27"/>
      <c r="BIA1" s="27"/>
      <c r="BIB1" s="27"/>
      <c r="BIC1" s="27"/>
      <c r="BID1" s="27"/>
      <c r="BIE1" s="27"/>
      <c r="BIF1" s="27"/>
      <c r="BIG1" s="27"/>
      <c r="BIH1" s="27"/>
      <c r="BII1" s="27"/>
      <c r="BIJ1" s="27"/>
      <c r="BIK1" s="27"/>
      <c r="BIL1" s="27"/>
      <c r="BIM1" s="27"/>
      <c r="BIN1" s="27"/>
      <c r="BIO1" s="27"/>
      <c r="BIP1" s="27"/>
      <c r="BIQ1" s="27"/>
      <c r="BIR1" s="27"/>
      <c r="BIS1" s="27"/>
      <c r="BIT1" s="27"/>
      <c r="BIU1" s="27"/>
      <c r="BIV1" s="27"/>
      <c r="BIW1" s="27"/>
      <c r="BIX1" s="27"/>
      <c r="BIY1" s="27"/>
      <c r="BIZ1" s="27"/>
      <c r="BJA1" s="27"/>
      <c r="BJB1" s="27"/>
      <c r="BJC1" s="27"/>
      <c r="BJD1" s="27"/>
      <c r="BJE1" s="27"/>
      <c r="BJF1" s="27"/>
      <c r="BJG1" s="27"/>
      <c r="BJH1" s="27"/>
      <c r="BJI1" s="27"/>
      <c r="BJJ1" s="27"/>
      <c r="BJK1" s="27"/>
      <c r="BJL1" s="27"/>
      <c r="BJM1" s="27"/>
      <c r="BJN1" s="27"/>
      <c r="BJO1" s="27"/>
      <c r="BJP1" s="27"/>
      <c r="BJQ1" s="27"/>
      <c r="BJR1" s="27"/>
      <c r="BJS1" s="27"/>
      <c r="BJT1" s="27"/>
      <c r="BJU1" s="27"/>
      <c r="BJV1" s="27"/>
      <c r="BJW1" s="27"/>
      <c r="BJX1" s="27"/>
      <c r="BJY1" s="27"/>
      <c r="BJZ1" s="27"/>
      <c r="BKA1" s="27"/>
      <c r="BKB1" s="27"/>
      <c r="BKC1" s="27"/>
      <c r="BKD1" s="27"/>
      <c r="BKE1" s="27"/>
      <c r="BKF1" s="27"/>
      <c r="BKG1" s="27"/>
      <c r="BKH1" s="27"/>
      <c r="BKI1" s="27"/>
      <c r="BKJ1" s="27"/>
      <c r="BKK1" s="27"/>
      <c r="BKL1" s="27"/>
      <c r="BKM1" s="27"/>
      <c r="BKN1" s="27"/>
      <c r="BKO1" s="27"/>
      <c r="BKP1" s="27"/>
      <c r="BKQ1" s="27"/>
      <c r="BKR1" s="27"/>
      <c r="BKS1" s="27"/>
      <c r="BKT1" s="27"/>
      <c r="BKU1" s="27"/>
      <c r="BKV1" s="27"/>
      <c r="BKW1" s="27"/>
      <c r="BKX1" s="27"/>
      <c r="BKY1" s="27"/>
      <c r="BKZ1" s="27"/>
      <c r="BLA1" s="27"/>
      <c r="BLB1" s="27"/>
      <c r="BLC1" s="27"/>
      <c r="BLD1" s="27"/>
      <c r="BLE1" s="27"/>
      <c r="BLF1" s="27"/>
      <c r="BLG1" s="27"/>
      <c r="BLH1" s="27"/>
      <c r="BLI1" s="27"/>
      <c r="BLJ1" s="27"/>
      <c r="BLK1" s="27"/>
      <c r="BLL1" s="27"/>
      <c r="BLM1" s="27"/>
      <c r="BLN1" s="27"/>
      <c r="BLO1" s="27"/>
      <c r="BLP1" s="27"/>
      <c r="BLQ1" s="27"/>
      <c r="BLR1" s="27"/>
      <c r="BLS1" s="27"/>
      <c r="BLT1" s="27"/>
      <c r="BLU1" s="27"/>
      <c r="BLV1" s="27"/>
      <c r="BLW1" s="27"/>
      <c r="BLX1" s="27"/>
      <c r="BLY1" s="27"/>
      <c r="BLZ1" s="27"/>
      <c r="BMA1" s="27"/>
      <c r="BMB1" s="27"/>
      <c r="BMC1" s="27"/>
      <c r="BMD1" s="27"/>
      <c r="BME1" s="27"/>
      <c r="BMF1" s="27"/>
      <c r="BMG1" s="27"/>
      <c r="BMH1" s="27"/>
      <c r="BMI1" s="27"/>
      <c r="BMJ1" s="27"/>
      <c r="BMK1" s="27"/>
      <c r="BML1" s="27"/>
      <c r="BMM1" s="27"/>
      <c r="BMN1" s="27"/>
      <c r="BMO1" s="27"/>
      <c r="BMP1" s="27"/>
      <c r="BMQ1" s="27"/>
      <c r="BMR1" s="27"/>
      <c r="BMS1" s="27"/>
      <c r="BMT1" s="27"/>
      <c r="BMU1" s="27"/>
      <c r="BMV1" s="27"/>
      <c r="BMW1" s="27"/>
      <c r="BMX1" s="27"/>
      <c r="BMY1" s="27"/>
      <c r="BMZ1" s="27"/>
      <c r="BNA1" s="27"/>
      <c r="BNB1" s="27"/>
      <c r="BNC1" s="27"/>
      <c r="BND1" s="27"/>
      <c r="BNE1" s="27"/>
      <c r="BNF1" s="27"/>
      <c r="BNG1" s="27"/>
      <c r="BNH1" s="27"/>
      <c r="BNI1" s="27"/>
      <c r="BNJ1" s="27"/>
      <c r="BNK1" s="27"/>
      <c r="BNL1" s="27"/>
      <c r="BNM1" s="27"/>
      <c r="BNN1" s="27"/>
      <c r="BNO1" s="27"/>
      <c r="BNP1" s="27"/>
      <c r="BNQ1" s="27"/>
      <c r="BNR1" s="27"/>
      <c r="BNS1" s="27"/>
      <c r="BNT1" s="27"/>
      <c r="BNU1" s="27"/>
      <c r="BNV1" s="27"/>
      <c r="BNW1" s="27"/>
      <c r="BNX1" s="27"/>
      <c r="BNY1" s="27"/>
      <c r="BNZ1" s="27"/>
      <c r="BOA1" s="27"/>
      <c r="BOB1" s="27"/>
      <c r="BOC1" s="27"/>
      <c r="BOD1" s="27"/>
      <c r="BOE1" s="27"/>
      <c r="BOF1" s="27"/>
      <c r="BOG1" s="27"/>
      <c r="BOH1" s="27"/>
      <c r="BOI1" s="27"/>
      <c r="BOJ1" s="27"/>
      <c r="BOK1" s="27"/>
      <c r="BOL1" s="27"/>
      <c r="BOM1" s="27"/>
      <c r="BON1" s="27"/>
      <c r="BOO1" s="27"/>
      <c r="BOP1" s="27"/>
      <c r="BOQ1" s="27"/>
      <c r="BOR1" s="27"/>
      <c r="BOS1" s="27"/>
      <c r="BOT1" s="27"/>
      <c r="BOU1" s="27"/>
      <c r="BOV1" s="27"/>
      <c r="BOW1" s="27"/>
      <c r="BOX1" s="27"/>
      <c r="BOY1" s="27"/>
      <c r="BOZ1" s="27"/>
      <c r="BPA1" s="27"/>
      <c r="BPB1" s="27"/>
      <c r="BPC1" s="27"/>
      <c r="BPD1" s="27"/>
      <c r="BPE1" s="27"/>
      <c r="BPF1" s="27"/>
      <c r="BPG1" s="27"/>
      <c r="BPH1" s="27"/>
      <c r="BPI1" s="27"/>
      <c r="BPJ1" s="27"/>
      <c r="BPK1" s="27"/>
      <c r="BPL1" s="27"/>
      <c r="BPM1" s="27"/>
      <c r="BPN1" s="27"/>
      <c r="BPO1" s="27"/>
      <c r="BPP1" s="27"/>
      <c r="BPQ1" s="27"/>
      <c r="BPR1" s="27"/>
      <c r="BPS1" s="27"/>
      <c r="BPT1" s="27"/>
      <c r="BPU1" s="27"/>
      <c r="BPV1" s="27"/>
      <c r="BPW1" s="27"/>
      <c r="BPX1" s="27"/>
      <c r="BPY1" s="27"/>
      <c r="BPZ1" s="27"/>
      <c r="BQA1" s="27"/>
      <c r="BQB1" s="27"/>
      <c r="BQC1" s="27"/>
      <c r="BQD1" s="27"/>
      <c r="BQE1" s="27"/>
      <c r="BQF1" s="27"/>
      <c r="BQG1" s="27"/>
      <c r="BQH1" s="27"/>
      <c r="BQI1" s="27"/>
      <c r="BQJ1" s="27"/>
      <c r="BQK1" s="27"/>
      <c r="BQL1" s="27"/>
      <c r="BQM1" s="27"/>
      <c r="BQN1" s="27"/>
      <c r="BQO1" s="27"/>
      <c r="BQP1" s="27"/>
      <c r="BQQ1" s="27"/>
      <c r="BQR1" s="27"/>
      <c r="BQS1" s="27"/>
      <c r="BQT1" s="27"/>
      <c r="BQU1" s="27"/>
      <c r="BQV1" s="27"/>
      <c r="BQW1" s="27"/>
      <c r="BQX1" s="27"/>
      <c r="BQY1" s="27"/>
      <c r="BQZ1" s="27"/>
      <c r="BRA1" s="27"/>
      <c r="BRB1" s="27"/>
      <c r="BRC1" s="27"/>
      <c r="BRD1" s="27"/>
      <c r="BRE1" s="27"/>
      <c r="BRF1" s="27"/>
      <c r="BRG1" s="27"/>
      <c r="BRH1" s="27"/>
      <c r="BRI1" s="27"/>
      <c r="BRJ1" s="27"/>
      <c r="BRK1" s="27"/>
      <c r="BRL1" s="27"/>
      <c r="BRM1" s="27"/>
      <c r="BRN1" s="27"/>
      <c r="BRO1" s="27"/>
      <c r="BRP1" s="27"/>
      <c r="BRQ1" s="27"/>
      <c r="BRR1" s="27"/>
      <c r="BRS1" s="27"/>
      <c r="BRT1" s="27"/>
      <c r="BRU1" s="27"/>
      <c r="BRV1" s="27"/>
      <c r="BRW1" s="27"/>
      <c r="BRX1" s="27"/>
      <c r="BRY1" s="27"/>
      <c r="BRZ1" s="27"/>
      <c r="BSA1" s="27"/>
      <c r="BSB1" s="27"/>
      <c r="BSC1" s="27"/>
      <c r="BSD1" s="27"/>
      <c r="BSE1" s="27"/>
      <c r="BSF1" s="27"/>
      <c r="BSG1" s="27"/>
      <c r="BSH1" s="27"/>
      <c r="BSI1" s="27"/>
      <c r="BSJ1" s="27"/>
      <c r="BSK1" s="27"/>
      <c r="BSL1" s="27"/>
      <c r="BSM1" s="27"/>
      <c r="BSN1" s="27"/>
      <c r="BSO1" s="27"/>
      <c r="BSP1" s="27"/>
      <c r="BSQ1" s="27"/>
      <c r="BSR1" s="27"/>
      <c r="BSS1" s="27"/>
      <c r="BST1" s="27"/>
      <c r="BSU1" s="27"/>
      <c r="BSV1" s="27"/>
      <c r="BSW1" s="27"/>
      <c r="BSX1" s="27"/>
      <c r="BSY1" s="27"/>
      <c r="BSZ1" s="27"/>
      <c r="BTA1" s="27"/>
      <c r="BTB1" s="27"/>
      <c r="BTC1" s="27"/>
      <c r="BTD1" s="27"/>
      <c r="BTE1" s="27"/>
      <c r="BTF1" s="27"/>
      <c r="BTG1" s="27"/>
      <c r="BTH1" s="27"/>
      <c r="BTI1" s="27"/>
      <c r="BTJ1" s="27"/>
      <c r="BTK1" s="27"/>
      <c r="BTL1" s="27"/>
      <c r="BTM1" s="27"/>
      <c r="BTN1" s="27"/>
      <c r="BTO1" s="27"/>
      <c r="BTP1" s="27"/>
      <c r="BTQ1" s="27"/>
      <c r="BTR1" s="27"/>
      <c r="BTS1" s="27"/>
      <c r="BTT1" s="27"/>
      <c r="BTU1" s="27"/>
      <c r="BTV1" s="27"/>
      <c r="BTW1" s="27"/>
      <c r="BTX1" s="27"/>
      <c r="BTY1" s="27"/>
      <c r="BTZ1" s="27"/>
      <c r="BUA1" s="27"/>
      <c r="BUB1" s="27"/>
      <c r="BUC1" s="27"/>
      <c r="BUD1" s="27"/>
      <c r="BUE1" s="27"/>
      <c r="BUF1" s="27"/>
      <c r="BUG1" s="27"/>
      <c r="BUH1" s="27"/>
      <c r="BUI1" s="27"/>
      <c r="BUJ1" s="27"/>
      <c r="BUK1" s="27"/>
      <c r="BUL1" s="27"/>
      <c r="BUM1" s="27"/>
      <c r="BUN1" s="27"/>
      <c r="BUO1" s="27"/>
      <c r="BUP1" s="27"/>
      <c r="BUQ1" s="27"/>
      <c r="BUR1" s="27"/>
      <c r="BUS1" s="27"/>
      <c r="BUT1" s="27"/>
      <c r="BUU1" s="27"/>
      <c r="BUV1" s="27"/>
      <c r="BUW1" s="27"/>
      <c r="BUX1" s="27"/>
      <c r="BUY1" s="27"/>
      <c r="BUZ1" s="27"/>
      <c r="BVA1" s="27"/>
      <c r="BVB1" s="27"/>
      <c r="BVC1" s="27"/>
      <c r="BVD1" s="27"/>
      <c r="BVE1" s="27"/>
      <c r="BVF1" s="27"/>
      <c r="BVG1" s="27"/>
      <c r="BVH1" s="27"/>
      <c r="BVI1" s="27"/>
      <c r="BVJ1" s="27"/>
      <c r="BVK1" s="27"/>
      <c r="BVL1" s="27"/>
      <c r="BVM1" s="27"/>
      <c r="BVN1" s="27"/>
      <c r="BVO1" s="27"/>
      <c r="BVP1" s="27"/>
      <c r="BVQ1" s="27"/>
      <c r="BVR1" s="27"/>
      <c r="BVS1" s="27"/>
      <c r="BVT1" s="27"/>
      <c r="BVU1" s="27"/>
      <c r="BVV1" s="27"/>
      <c r="BVW1" s="27"/>
      <c r="BVX1" s="27"/>
      <c r="BVY1" s="27"/>
      <c r="BVZ1" s="27"/>
      <c r="BWA1" s="27"/>
      <c r="BWB1" s="27"/>
      <c r="BWC1" s="27"/>
      <c r="BWD1" s="27"/>
      <c r="BWE1" s="27"/>
      <c r="BWF1" s="27"/>
      <c r="BWG1" s="27"/>
      <c r="BWH1" s="27"/>
      <c r="BWI1" s="27"/>
      <c r="BWJ1" s="27"/>
      <c r="BWK1" s="27"/>
      <c r="BWL1" s="27"/>
      <c r="BWM1" s="27"/>
      <c r="BWN1" s="27"/>
      <c r="BWO1" s="27"/>
      <c r="BWP1" s="27"/>
      <c r="BWQ1" s="27"/>
      <c r="BWR1" s="27"/>
      <c r="BWS1" s="27"/>
      <c r="BWT1" s="27"/>
      <c r="BWU1" s="27"/>
      <c r="BWV1" s="27"/>
      <c r="BWW1" s="27"/>
      <c r="BWX1" s="27"/>
      <c r="BWY1" s="27"/>
      <c r="BWZ1" s="27"/>
      <c r="BXA1" s="27"/>
      <c r="BXB1" s="27"/>
      <c r="BXC1" s="27"/>
      <c r="BXD1" s="27"/>
      <c r="BXE1" s="27"/>
      <c r="BXF1" s="27"/>
      <c r="BXG1" s="27"/>
      <c r="BXH1" s="27"/>
      <c r="BXI1" s="27"/>
      <c r="BXJ1" s="27"/>
      <c r="BXK1" s="27"/>
      <c r="BXL1" s="27"/>
      <c r="BXM1" s="27"/>
      <c r="BXN1" s="27"/>
      <c r="BXO1" s="27"/>
      <c r="BXP1" s="27"/>
      <c r="BXQ1" s="27"/>
      <c r="BXR1" s="27"/>
      <c r="BXS1" s="27"/>
      <c r="BXT1" s="27"/>
      <c r="BXU1" s="27"/>
      <c r="BXV1" s="27"/>
      <c r="BXW1" s="27"/>
      <c r="BXX1" s="27"/>
      <c r="BXY1" s="27"/>
      <c r="BXZ1" s="27"/>
      <c r="BYA1" s="27"/>
      <c r="BYB1" s="27"/>
      <c r="BYC1" s="27"/>
      <c r="BYD1" s="27"/>
      <c r="BYE1" s="27"/>
      <c r="BYF1" s="27"/>
      <c r="BYG1" s="27"/>
      <c r="BYH1" s="27"/>
      <c r="BYI1" s="27"/>
      <c r="BYJ1" s="27"/>
      <c r="BYK1" s="27"/>
      <c r="BYL1" s="27"/>
      <c r="BYM1" s="27"/>
      <c r="BYN1" s="27"/>
      <c r="BYO1" s="27"/>
      <c r="BYP1" s="27"/>
      <c r="BYQ1" s="27"/>
      <c r="BYR1" s="27"/>
      <c r="BYS1" s="27"/>
      <c r="BYT1" s="27"/>
      <c r="BYU1" s="27"/>
      <c r="BYV1" s="27"/>
      <c r="BYW1" s="27"/>
      <c r="BYX1" s="27"/>
      <c r="BYY1" s="27"/>
      <c r="BYZ1" s="27"/>
      <c r="BZA1" s="27"/>
      <c r="BZB1" s="27"/>
      <c r="BZC1" s="27"/>
      <c r="BZD1" s="27"/>
      <c r="BZE1" s="27"/>
      <c r="BZF1" s="27"/>
      <c r="BZG1" s="27"/>
      <c r="BZH1" s="27"/>
      <c r="BZI1" s="27"/>
      <c r="BZJ1" s="27"/>
      <c r="BZK1" s="27"/>
      <c r="BZL1" s="27"/>
      <c r="BZM1" s="27"/>
      <c r="BZN1" s="27"/>
      <c r="BZO1" s="27"/>
      <c r="BZP1" s="27"/>
      <c r="BZQ1" s="27"/>
      <c r="BZR1" s="27"/>
      <c r="BZS1" s="27"/>
      <c r="BZT1" s="27"/>
      <c r="BZU1" s="27"/>
      <c r="BZV1" s="27"/>
      <c r="BZW1" s="27"/>
      <c r="BZX1" s="27"/>
      <c r="BZY1" s="27"/>
      <c r="BZZ1" s="27"/>
      <c r="CAA1" s="27"/>
      <c r="CAB1" s="27"/>
      <c r="CAC1" s="27"/>
      <c r="CAD1" s="27"/>
      <c r="CAE1" s="27"/>
      <c r="CAF1" s="27"/>
      <c r="CAG1" s="27"/>
      <c r="CAH1" s="27"/>
      <c r="CAI1" s="27"/>
      <c r="CAJ1" s="27"/>
      <c r="CAK1" s="27"/>
      <c r="CAL1" s="27"/>
      <c r="CAM1" s="27"/>
      <c r="CAN1" s="27"/>
      <c r="CAO1" s="27"/>
      <c r="CAP1" s="27"/>
      <c r="CAQ1" s="27"/>
      <c r="CAR1" s="27"/>
      <c r="CAS1" s="27"/>
      <c r="CAT1" s="27"/>
      <c r="CAU1" s="27"/>
      <c r="CAV1" s="27"/>
      <c r="CAW1" s="27"/>
      <c r="CAX1" s="27"/>
      <c r="CAY1" s="27"/>
      <c r="CAZ1" s="27"/>
      <c r="CBA1" s="27"/>
      <c r="CBB1" s="27"/>
      <c r="CBC1" s="27"/>
      <c r="CBD1" s="27"/>
      <c r="CBE1" s="27"/>
      <c r="CBF1" s="27"/>
      <c r="CBG1" s="27"/>
      <c r="CBH1" s="27"/>
      <c r="CBI1" s="27"/>
      <c r="CBJ1" s="27"/>
      <c r="CBK1" s="27"/>
      <c r="CBL1" s="27"/>
      <c r="CBM1" s="27"/>
      <c r="CBN1" s="27"/>
      <c r="CBO1" s="27"/>
      <c r="CBP1" s="27"/>
      <c r="CBQ1" s="27"/>
      <c r="CBR1" s="27"/>
      <c r="CBS1" s="27"/>
      <c r="CBT1" s="27"/>
      <c r="CBU1" s="27"/>
      <c r="CBV1" s="27"/>
      <c r="CBW1" s="27"/>
      <c r="CBX1" s="27"/>
      <c r="CBY1" s="27"/>
      <c r="CBZ1" s="27"/>
      <c r="CCA1" s="27"/>
      <c r="CCB1" s="27"/>
      <c r="CCC1" s="27"/>
      <c r="CCD1" s="27"/>
      <c r="CCE1" s="27"/>
      <c r="CCF1" s="27"/>
      <c r="CCG1" s="27"/>
      <c r="CCH1" s="27"/>
      <c r="CCI1" s="27"/>
      <c r="CCJ1" s="27"/>
      <c r="CCK1" s="27"/>
      <c r="CCL1" s="27"/>
      <c r="CCM1" s="27"/>
      <c r="CCN1" s="27"/>
      <c r="CCO1" s="27"/>
      <c r="CCP1" s="27"/>
      <c r="CCQ1" s="27"/>
      <c r="CCR1" s="27"/>
      <c r="CCS1" s="27"/>
      <c r="CCT1" s="27"/>
      <c r="CCU1" s="27"/>
      <c r="CCV1" s="27"/>
      <c r="CCW1" s="27"/>
      <c r="CCX1" s="27"/>
      <c r="CCY1" s="27"/>
      <c r="CCZ1" s="27"/>
      <c r="CDA1" s="27"/>
      <c r="CDB1" s="27"/>
      <c r="CDC1" s="27"/>
      <c r="CDD1" s="27"/>
      <c r="CDE1" s="27"/>
      <c r="CDF1" s="27"/>
      <c r="CDG1" s="27"/>
      <c r="CDH1" s="27"/>
      <c r="CDI1" s="27"/>
      <c r="CDJ1" s="27"/>
      <c r="CDK1" s="27"/>
      <c r="CDL1" s="27"/>
      <c r="CDM1" s="27"/>
      <c r="CDN1" s="27"/>
      <c r="CDO1" s="27"/>
      <c r="CDP1" s="27"/>
      <c r="CDQ1" s="27"/>
      <c r="CDR1" s="27"/>
      <c r="CDS1" s="27"/>
      <c r="CDT1" s="27"/>
      <c r="CDU1" s="27"/>
      <c r="CDV1" s="27"/>
      <c r="CDW1" s="27"/>
      <c r="CDX1" s="27"/>
      <c r="CDY1" s="27"/>
      <c r="CDZ1" s="27"/>
      <c r="CEA1" s="27"/>
      <c r="CEB1" s="27"/>
      <c r="CEC1" s="27"/>
      <c r="CED1" s="27"/>
      <c r="CEE1" s="27"/>
      <c r="CEF1" s="27"/>
      <c r="CEG1" s="27"/>
      <c r="CEH1" s="27"/>
      <c r="CEI1" s="27"/>
      <c r="CEJ1" s="27"/>
      <c r="CEK1" s="27"/>
      <c r="CEL1" s="27"/>
      <c r="CEM1" s="27"/>
      <c r="CEN1" s="27"/>
      <c r="CEO1" s="27"/>
      <c r="CEP1" s="27"/>
      <c r="CEQ1" s="27"/>
      <c r="CER1" s="27"/>
      <c r="CES1" s="27"/>
      <c r="CET1" s="27"/>
      <c r="CEU1" s="27"/>
      <c r="CEV1" s="27"/>
      <c r="CEW1" s="27"/>
      <c r="CEX1" s="27"/>
      <c r="CEY1" s="27"/>
      <c r="CEZ1" s="27"/>
      <c r="CFA1" s="27"/>
      <c r="CFB1" s="27"/>
      <c r="CFC1" s="27"/>
      <c r="CFD1" s="27"/>
      <c r="CFE1" s="27"/>
      <c r="CFF1" s="27"/>
      <c r="CFG1" s="27"/>
      <c r="CFH1" s="27"/>
      <c r="CFI1" s="27"/>
      <c r="CFJ1" s="27"/>
      <c r="CFK1" s="27"/>
      <c r="CFL1" s="27"/>
      <c r="CFM1" s="27"/>
      <c r="CFN1" s="27"/>
      <c r="CFO1" s="27"/>
      <c r="CFP1" s="27"/>
      <c r="CFQ1" s="27"/>
      <c r="CFR1" s="27"/>
      <c r="CFS1" s="27"/>
      <c r="CFT1" s="27"/>
      <c r="CFU1" s="27"/>
      <c r="CFV1" s="27"/>
      <c r="CFW1" s="27"/>
      <c r="CFX1" s="27"/>
      <c r="CFY1" s="27"/>
      <c r="CFZ1" s="27"/>
      <c r="CGA1" s="27"/>
      <c r="CGB1" s="27"/>
      <c r="CGC1" s="27"/>
      <c r="CGD1" s="27"/>
      <c r="CGE1" s="27"/>
      <c r="CGF1" s="27"/>
      <c r="CGG1" s="27"/>
      <c r="CGH1" s="27"/>
      <c r="CGI1" s="27"/>
      <c r="CGJ1" s="27"/>
      <c r="CGK1" s="27"/>
      <c r="CGL1" s="27"/>
      <c r="CGM1" s="27"/>
      <c r="CGN1" s="27"/>
      <c r="CGO1" s="27"/>
      <c r="CGP1" s="27"/>
      <c r="CGQ1" s="27"/>
      <c r="CGR1" s="27"/>
      <c r="CGS1" s="27"/>
      <c r="CGT1" s="27"/>
      <c r="CGU1" s="27"/>
      <c r="CGV1" s="27"/>
      <c r="CGW1" s="27"/>
      <c r="CGX1" s="27"/>
      <c r="CGY1" s="27"/>
      <c r="CGZ1" s="27"/>
      <c r="CHA1" s="27"/>
      <c r="CHB1" s="27"/>
      <c r="CHC1" s="27"/>
      <c r="CHD1" s="27"/>
      <c r="CHE1" s="27"/>
      <c r="CHF1" s="27"/>
      <c r="CHG1" s="27"/>
      <c r="CHH1" s="27"/>
      <c r="CHI1" s="27"/>
      <c r="CHJ1" s="27"/>
      <c r="CHK1" s="27"/>
      <c r="CHL1" s="27"/>
      <c r="CHM1" s="27"/>
      <c r="CHN1" s="27"/>
      <c r="CHO1" s="27"/>
      <c r="CHP1" s="27"/>
      <c r="CHQ1" s="27"/>
      <c r="CHR1" s="27"/>
      <c r="CHS1" s="27"/>
      <c r="CHT1" s="27"/>
      <c r="CHU1" s="27"/>
      <c r="CHV1" s="27"/>
      <c r="CHW1" s="27"/>
      <c r="CHX1" s="27"/>
      <c r="CHY1" s="27"/>
      <c r="CHZ1" s="27"/>
      <c r="CIA1" s="27"/>
      <c r="CIB1" s="27"/>
      <c r="CIC1" s="27"/>
      <c r="CID1" s="27"/>
      <c r="CIE1" s="27"/>
      <c r="CIF1" s="27"/>
      <c r="CIG1" s="27"/>
      <c r="CIH1" s="27"/>
      <c r="CII1" s="27"/>
      <c r="CIJ1" s="27"/>
      <c r="CIK1" s="27"/>
      <c r="CIL1" s="27"/>
      <c r="CIM1" s="27"/>
      <c r="CIN1" s="27"/>
      <c r="CIO1" s="27"/>
      <c r="CIP1" s="27"/>
      <c r="CIQ1" s="27"/>
      <c r="CIR1" s="27"/>
      <c r="CIS1" s="27"/>
      <c r="CIT1" s="27"/>
      <c r="CIU1" s="27"/>
      <c r="CIV1" s="27"/>
      <c r="CIW1" s="27"/>
      <c r="CIX1" s="27"/>
      <c r="CIY1" s="27"/>
      <c r="CIZ1" s="27"/>
      <c r="CJA1" s="27"/>
      <c r="CJB1" s="27"/>
      <c r="CJC1" s="27"/>
      <c r="CJD1" s="27"/>
      <c r="CJE1" s="27"/>
      <c r="CJF1" s="27"/>
      <c r="CJG1" s="27"/>
      <c r="CJH1" s="27"/>
      <c r="CJI1" s="27"/>
      <c r="CJJ1" s="27"/>
      <c r="CJK1" s="27"/>
      <c r="CJL1" s="27"/>
      <c r="CJM1" s="27"/>
      <c r="CJN1" s="27"/>
      <c r="CJO1" s="27"/>
      <c r="CJP1" s="27"/>
      <c r="CJQ1" s="27"/>
      <c r="CJR1" s="27"/>
      <c r="CJS1" s="27"/>
      <c r="CJT1" s="27"/>
      <c r="CJU1" s="27"/>
      <c r="CJV1" s="27"/>
      <c r="CJW1" s="27"/>
      <c r="CJX1" s="27"/>
      <c r="CJY1" s="27"/>
      <c r="CJZ1" s="27"/>
      <c r="CKA1" s="27"/>
      <c r="CKB1" s="27"/>
      <c r="CKC1" s="27"/>
      <c r="CKD1" s="27"/>
      <c r="CKE1" s="27"/>
      <c r="CKF1" s="27"/>
      <c r="CKG1" s="27"/>
      <c r="CKH1" s="27"/>
      <c r="CKI1" s="27"/>
      <c r="CKJ1" s="27"/>
      <c r="CKK1" s="27"/>
      <c r="CKL1" s="27"/>
      <c r="CKM1" s="27"/>
      <c r="CKN1" s="27"/>
      <c r="CKO1" s="27"/>
      <c r="CKP1" s="27"/>
      <c r="CKQ1" s="27"/>
      <c r="CKR1" s="27"/>
      <c r="CKS1" s="27"/>
      <c r="CKT1" s="27"/>
      <c r="CKU1" s="27"/>
      <c r="CKV1" s="27"/>
      <c r="CKW1" s="27"/>
      <c r="CKX1" s="27"/>
      <c r="CKY1" s="27"/>
      <c r="CKZ1" s="27"/>
      <c r="CLA1" s="27"/>
      <c r="CLB1" s="27"/>
      <c r="CLC1" s="27"/>
      <c r="CLD1" s="27"/>
      <c r="CLE1" s="27"/>
      <c r="CLF1" s="27"/>
      <c r="CLG1" s="27"/>
      <c r="CLH1" s="27"/>
      <c r="CLI1" s="27"/>
      <c r="CLJ1" s="27"/>
      <c r="CLK1" s="27"/>
      <c r="CLL1" s="27"/>
      <c r="CLM1" s="27"/>
      <c r="CLN1" s="27"/>
      <c r="CLO1" s="27"/>
      <c r="CLP1" s="27"/>
      <c r="CLQ1" s="27"/>
      <c r="CLR1" s="27"/>
      <c r="CLS1" s="27"/>
      <c r="CLT1" s="27"/>
      <c r="CLU1" s="27"/>
      <c r="CLV1" s="27"/>
      <c r="CLW1" s="27"/>
      <c r="CLX1" s="27"/>
      <c r="CLY1" s="27"/>
      <c r="CLZ1" s="27"/>
      <c r="CMA1" s="27"/>
      <c r="CMB1" s="27"/>
      <c r="CMC1" s="27"/>
      <c r="CMD1" s="27"/>
      <c r="CME1" s="27"/>
      <c r="CMF1" s="27"/>
      <c r="CMG1" s="27"/>
      <c r="CMH1" s="27"/>
      <c r="CMI1" s="27"/>
      <c r="CMJ1" s="27"/>
      <c r="CMK1" s="27"/>
      <c r="CML1" s="27"/>
      <c r="CMM1" s="27"/>
      <c r="CMN1" s="27"/>
      <c r="CMO1" s="27"/>
      <c r="CMP1" s="27"/>
      <c r="CMQ1" s="27"/>
      <c r="CMR1" s="27"/>
      <c r="CMS1" s="27"/>
      <c r="CMT1" s="27"/>
      <c r="CMU1" s="27"/>
      <c r="CMV1" s="27"/>
      <c r="CMW1" s="27"/>
      <c r="CMX1" s="27"/>
      <c r="CMY1" s="27"/>
      <c r="CMZ1" s="27"/>
      <c r="CNA1" s="27"/>
      <c r="CNB1" s="27"/>
      <c r="CNC1" s="27"/>
      <c r="CND1" s="27"/>
      <c r="CNE1" s="27"/>
      <c r="CNF1" s="27"/>
      <c r="CNG1" s="27"/>
      <c r="CNH1" s="27"/>
      <c r="CNI1" s="27"/>
      <c r="CNJ1" s="27"/>
      <c r="CNK1" s="27"/>
      <c r="CNL1" s="27"/>
      <c r="CNM1" s="27"/>
      <c r="CNN1" s="27"/>
      <c r="CNO1" s="27"/>
      <c r="CNP1" s="27"/>
      <c r="CNQ1" s="27"/>
      <c r="CNR1" s="27"/>
      <c r="CNS1" s="27"/>
      <c r="CNT1" s="27"/>
      <c r="CNU1" s="27"/>
      <c r="CNV1" s="27"/>
      <c r="CNW1" s="27"/>
      <c r="CNX1" s="27"/>
      <c r="CNY1" s="27"/>
      <c r="CNZ1" s="27"/>
      <c r="COA1" s="27"/>
      <c r="COB1" s="27"/>
      <c r="COC1" s="27"/>
      <c r="COD1" s="27"/>
      <c r="COE1" s="27"/>
      <c r="COF1" s="27"/>
      <c r="COG1" s="27"/>
      <c r="COH1" s="27"/>
      <c r="COI1" s="27"/>
      <c r="COJ1" s="27"/>
      <c r="COK1" s="27"/>
      <c r="COL1" s="27"/>
      <c r="COM1" s="27"/>
      <c r="CON1" s="27"/>
      <c r="COO1" s="27"/>
      <c r="COP1" s="27"/>
      <c r="COQ1" s="27"/>
      <c r="COR1" s="27"/>
      <c r="COS1" s="27"/>
      <c r="COT1" s="27"/>
      <c r="COU1" s="27"/>
      <c r="COV1" s="27"/>
      <c r="COW1" s="27"/>
      <c r="COX1" s="27"/>
      <c r="COY1" s="27"/>
      <c r="COZ1" s="27"/>
      <c r="CPA1" s="27"/>
      <c r="CPB1" s="27"/>
      <c r="CPC1" s="27"/>
      <c r="CPD1" s="27"/>
      <c r="CPE1" s="27"/>
      <c r="CPF1" s="27"/>
      <c r="CPG1" s="27"/>
      <c r="CPH1" s="27"/>
      <c r="CPI1" s="27"/>
      <c r="CPJ1" s="27"/>
      <c r="CPK1" s="27"/>
      <c r="CPL1" s="27"/>
      <c r="CPM1" s="27"/>
      <c r="CPN1" s="27"/>
      <c r="CPO1" s="27"/>
      <c r="CPP1" s="27"/>
      <c r="CPQ1" s="27"/>
      <c r="CPR1" s="27"/>
      <c r="CPS1" s="27"/>
      <c r="CPT1" s="27"/>
      <c r="CPU1" s="27"/>
      <c r="CPV1" s="27"/>
      <c r="CPW1" s="27"/>
      <c r="CPX1" s="27"/>
      <c r="CPY1" s="27"/>
      <c r="CPZ1" s="27"/>
      <c r="CQA1" s="27"/>
      <c r="CQB1" s="27"/>
      <c r="CQC1" s="27"/>
      <c r="CQD1" s="27"/>
      <c r="CQE1" s="27"/>
      <c r="CQF1" s="27"/>
      <c r="CQG1" s="27"/>
      <c r="CQH1" s="27"/>
      <c r="CQI1" s="27"/>
      <c r="CQJ1" s="27"/>
      <c r="CQK1" s="27"/>
      <c r="CQL1" s="27"/>
      <c r="CQM1" s="27"/>
      <c r="CQN1" s="27"/>
      <c r="CQO1" s="27"/>
      <c r="CQP1" s="27"/>
      <c r="CQQ1" s="27"/>
      <c r="CQR1" s="27"/>
      <c r="CQS1" s="27"/>
      <c r="CQT1" s="27"/>
      <c r="CQU1" s="27"/>
      <c r="CQV1" s="27"/>
      <c r="CQW1" s="27"/>
      <c r="CQX1" s="27"/>
      <c r="CQY1" s="27"/>
      <c r="CQZ1" s="27"/>
      <c r="CRA1" s="27"/>
      <c r="CRB1" s="27"/>
      <c r="CRC1" s="27"/>
      <c r="CRD1" s="27"/>
      <c r="CRE1" s="27"/>
      <c r="CRF1" s="27"/>
      <c r="CRG1" s="27"/>
      <c r="CRH1" s="27"/>
      <c r="CRI1" s="27"/>
      <c r="CRJ1" s="27"/>
      <c r="CRK1" s="27"/>
      <c r="CRL1" s="27"/>
      <c r="CRM1" s="27"/>
      <c r="CRN1" s="27"/>
      <c r="CRO1" s="27"/>
      <c r="CRP1" s="27"/>
      <c r="CRQ1" s="27"/>
      <c r="CRR1" s="27"/>
      <c r="CRS1" s="27"/>
      <c r="CRT1" s="27"/>
      <c r="CRU1" s="27"/>
      <c r="CRV1" s="27"/>
      <c r="CRW1" s="27"/>
      <c r="CRX1" s="27"/>
      <c r="CRY1" s="27"/>
      <c r="CRZ1" s="27"/>
      <c r="CSA1" s="27"/>
      <c r="CSB1" s="27"/>
      <c r="CSC1" s="27"/>
      <c r="CSD1" s="27"/>
      <c r="CSE1" s="27"/>
      <c r="CSF1" s="27"/>
      <c r="CSG1" s="27"/>
      <c r="CSH1" s="27"/>
      <c r="CSI1" s="27"/>
      <c r="CSJ1" s="27"/>
      <c r="CSK1" s="27"/>
      <c r="CSL1" s="27"/>
      <c r="CSM1" s="27"/>
      <c r="CSN1" s="27"/>
      <c r="CSO1" s="27"/>
      <c r="CSP1" s="27"/>
      <c r="CSQ1" s="27"/>
      <c r="CSR1" s="27"/>
      <c r="CSS1" s="27"/>
      <c r="CST1" s="27"/>
      <c r="CSU1" s="27"/>
      <c r="CSV1" s="27"/>
      <c r="CSW1" s="27"/>
      <c r="CSX1" s="27"/>
      <c r="CSY1" s="27"/>
      <c r="CSZ1" s="27"/>
      <c r="CTA1" s="27"/>
      <c r="CTB1" s="27"/>
      <c r="CTC1" s="27"/>
      <c r="CTD1" s="27"/>
      <c r="CTE1" s="27"/>
      <c r="CTF1" s="27"/>
      <c r="CTG1" s="27"/>
      <c r="CTH1" s="27"/>
      <c r="CTI1" s="27"/>
      <c r="CTJ1" s="27"/>
      <c r="CTK1" s="27"/>
      <c r="CTL1" s="27"/>
      <c r="CTM1" s="27"/>
      <c r="CTN1" s="27"/>
      <c r="CTO1" s="27"/>
      <c r="CTP1" s="27"/>
      <c r="CTQ1" s="27"/>
      <c r="CTR1" s="27"/>
      <c r="CTS1" s="27"/>
      <c r="CTT1" s="27"/>
      <c r="CTU1" s="27"/>
      <c r="CTV1" s="27"/>
      <c r="CTW1" s="27"/>
      <c r="CTX1" s="27"/>
      <c r="CTY1" s="27"/>
      <c r="CTZ1" s="27"/>
      <c r="CUA1" s="27"/>
      <c r="CUB1" s="27"/>
      <c r="CUC1" s="27"/>
      <c r="CUD1" s="27"/>
      <c r="CUE1" s="27"/>
      <c r="CUF1" s="27"/>
      <c r="CUG1" s="27"/>
      <c r="CUH1" s="27"/>
      <c r="CUI1" s="27"/>
      <c r="CUJ1" s="27"/>
      <c r="CUK1" s="27"/>
      <c r="CUL1" s="27"/>
      <c r="CUM1" s="27"/>
      <c r="CUN1" s="27"/>
      <c r="CUO1" s="27"/>
      <c r="CUP1" s="27"/>
      <c r="CUQ1" s="27"/>
      <c r="CUR1" s="27"/>
      <c r="CUS1" s="27"/>
      <c r="CUT1" s="27"/>
      <c r="CUU1" s="27"/>
      <c r="CUV1" s="27"/>
      <c r="CUW1" s="27"/>
      <c r="CUX1" s="27"/>
      <c r="CUY1" s="27"/>
      <c r="CUZ1" s="27"/>
      <c r="CVA1" s="27"/>
      <c r="CVB1" s="27"/>
      <c r="CVC1" s="27"/>
      <c r="CVD1" s="27"/>
      <c r="CVE1" s="27"/>
      <c r="CVF1" s="27"/>
      <c r="CVG1" s="27"/>
      <c r="CVH1" s="27"/>
      <c r="CVI1" s="27"/>
      <c r="CVJ1" s="27"/>
      <c r="CVK1" s="27"/>
      <c r="CVL1" s="27"/>
      <c r="CVM1" s="27"/>
      <c r="CVN1" s="27"/>
      <c r="CVO1" s="27"/>
      <c r="CVP1" s="27"/>
      <c r="CVQ1" s="27"/>
      <c r="CVR1" s="27"/>
      <c r="CVS1" s="27"/>
      <c r="CVT1" s="27"/>
      <c r="CVU1" s="27"/>
      <c r="CVV1" s="27"/>
      <c r="CVW1" s="27"/>
      <c r="CVX1" s="27"/>
      <c r="CVY1" s="27"/>
      <c r="CVZ1" s="27"/>
      <c r="CWA1" s="27"/>
      <c r="CWB1" s="27"/>
      <c r="CWC1" s="27"/>
      <c r="CWD1" s="27"/>
      <c r="CWE1" s="27"/>
      <c r="CWF1" s="27"/>
      <c r="CWG1" s="27"/>
      <c r="CWH1" s="27"/>
      <c r="CWI1" s="27"/>
      <c r="CWJ1" s="27"/>
      <c r="CWK1" s="27"/>
      <c r="CWL1" s="27"/>
      <c r="CWM1" s="27"/>
      <c r="CWN1" s="27"/>
      <c r="CWO1" s="27"/>
      <c r="CWP1" s="27"/>
      <c r="CWQ1" s="27"/>
      <c r="CWR1" s="27"/>
      <c r="CWS1" s="27"/>
      <c r="CWT1" s="27"/>
      <c r="CWU1" s="27"/>
      <c r="CWV1" s="27"/>
      <c r="CWW1" s="27"/>
      <c r="CWX1" s="27"/>
      <c r="CWY1" s="27"/>
      <c r="CWZ1" s="27"/>
      <c r="CXA1" s="27"/>
      <c r="CXB1" s="27"/>
      <c r="CXC1" s="27"/>
      <c r="CXD1" s="27"/>
      <c r="CXE1" s="27"/>
      <c r="CXF1" s="27"/>
      <c r="CXG1" s="27"/>
      <c r="CXH1" s="27"/>
      <c r="CXI1" s="27"/>
      <c r="CXJ1" s="27"/>
      <c r="CXK1" s="27"/>
      <c r="CXL1" s="27"/>
      <c r="CXM1" s="27"/>
      <c r="CXN1" s="27"/>
      <c r="CXO1" s="27"/>
      <c r="CXP1" s="27"/>
      <c r="CXQ1" s="27"/>
      <c r="CXR1" s="27"/>
      <c r="CXS1" s="27"/>
      <c r="CXT1" s="27"/>
      <c r="CXU1" s="27"/>
      <c r="CXV1" s="27"/>
      <c r="CXW1" s="27"/>
      <c r="CXX1" s="27"/>
      <c r="CXY1" s="27"/>
      <c r="CXZ1" s="27"/>
      <c r="CYA1" s="27"/>
      <c r="CYB1" s="27"/>
      <c r="CYC1" s="27"/>
      <c r="CYD1" s="27"/>
      <c r="CYE1" s="27"/>
      <c r="CYF1" s="27"/>
      <c r="CYG1" s="27"/>
      <c r="CYH1" s="27"/>
      <c r="CYI1" s="27"/>
      <c r="CYJ1" s="27"/>
      <c r="CYK1" s="27"/>
      <c r="CYL1" s="27"/>
      <c r="CYM1" s="27"/>
      <c r="CYN1" s="27"/>
      <c r="CYO1" s="27"/>
      <c r="CYP1" s="27"/>
      <c r="CYQ1" s="27"/>
      <c r="CYR1" s="27"/>
      <c r="CYS1" s="27"/>
      <c r="CYT1" s="27"/>
      <c r="CYU1" s="27"/>
      <c r="CYV1" s="27"/>
      <c r="CYW1" s="27"/>
      <c r="CYX1" s="27"/>
      <c r="CYY1" s="27"/>
      <c r="CYZ1" s="27"/>
      <c r="CZA1" s="27"/>
      <c r="CZB1" s="27"/>
      <c r="CZC1" s="27"/>
      <c r="CZD1" s="27"/>
      <c r="CZE1" s="27"/>
      <c r="CZF1" s="27"/>
      <c r="CZG1" s="27"/>
      <c r="CZH1" s="27"/>
      <c r="CZI1" s="27"/>
      <c r="CZJ1" s="27"/>
      <c r="CZK1" s="27"/>
      <c r="CZL1" s="27"/>
      <c r="CZM1" s="27"/>
      <c r="CZN1" s="27"/>
      <c r="CZO1" s="27"/>
      <c r="CZP1" s="27"/>
      <c r="CZQ1" s="27"/>
      <c r="CZR1" s="27"/>
      <c r="CZS1" s="27"/>
      <c r="CZT1" s="27"/>
      <c r="CZU1" s="27"/>
      <c r="CZV1" s="27"/>
      <c r="CZW1" s="27"/>
      <c r="CZX1" s="27"/>
      <c r="CZY1" s="27"/>
      <c r="CZZ1" s="27"/>
      <c r="DAA1" s="27"/>
      <c r="DAB1" s="27"/>
      <c r="DAC1" s="27"/>
      <c r="DAD1" s="27"/>
      <c r="DAE1" s="27"/>
      <c r="DAF1" s="27"/>
      <c r="DAG1" s="27"/>
      <c r="DAH1" s="27"/>
      <c r="DAI1" s="27"/>
      <c r="DAJ1" s="27"/>
      <c r="DAK1" s="27"/>
      <c r="DAL1" s="27"/>
      <c r="DAM1" s="27"/>
      <c r="DAN1" s="27"/>
      <c r="DAO1" s="27"/>
      <c r="DAP1" s="27"/>
      <c r="DAQ1" s="27"/>
      <c r="DAR1" s="27"/>
      <c r="DAS1" s="27"/>
      <c r="DAT1" s="27"/>
      <c r="DAU1" s="27"/>
      <c r="DAV1" s="27"/>
      <c r="DAW1" s="27"/>
      <c r="DAX1" s="27"/>
      <c r="DAY1" s="27"/>
      <c r="DAZ1" s="27"/>
      <c r="DBA1" s="27"/>
      <c r="DBB1" s="27"/>
      <c r="DBC1" s="27"/>
      <c r="DBD1" s="27"/>
      <c r="DBE1" s="27"/>
      <c r="DBF1" s="27"/>
      <c r="DBG1" s="27"/>
      <c r="DBH1" s="27"/>
      <c r="DBI1" s="27"/>
      <c r="DBJ1" s="27"/>
      <c r="DBK1" s="27"/>
      <c r="DBL1" s="27"/>
      <c r="DBM1" s="27"/>
      <c r="DBN1" s="27"/>
      <c r="DBO1" s="27"/>
      <c r="DBP1" s="27"/>
      <c r="DBQ1" s="27"/>
      <c r="DBR1" s="27"/>
      <c r="DBS1" s="27"/>
      <c r="DBT1" s="27"/>
      <c r="DBU1" s="27"/>
      <c r="DBV1" s="27"/>
      <c r="DBW1" s="27"/>
      <c r="DBX1" s="27"/>
      <c r="DBY1" s="27"/>
      <c r="DBZ1" s="27"/>
      <c r="DCA1" s="27"/>
      <c r="DCB1" s="27"/>
      <c r="DCC1" s="27"/>
      <c r="DCD1" s="27"/>
      <c r="DCE1" s="27"/>
      <c r="DCF1" s="27"/>
      <c r="DCG1" s="27"/>
      <c r="DCH1" s="27"/>
      <c r="DCI1" s="27"/>
      <c r="DCJ1" s="27"/>
      <c r="DCK1" s="27"/>
      <c r="DCL1" s="27"/>
      <c r="DCM1" s="27"/>
      <c r="DCN1" s="27"/>
      <c r="DCO1" s="27"/>
      <c r="DCP1" s="27"/>
      <c r="DCQ1" s="27"/>
      <c r="DCR1" s="27"/>
      <c r="DCS1" s="27"/>
      <c r="DCT1" s="27"/>
      <c r="DCU1" s="27"/>
      <c r="DCV1" s="27"/>
      <c r="DCW1" s="27"/>
      <c r="DCX1" s="27"/>
      <c r="DCY1" s="27"/>
      <c r="DCZ1" s="27"/>
      <c r="DDA1" s="27"/>
      <c r="DDB1" s="27"/>
      <c r="DDC1" s="27"/>
      <c r="DDD1" s="27"/>
      <c r="DDE1" s="27"/>
      <c r="DDF1" s="27"/>
      <c r="DDG1" s="27"/>
      <c r="DDH1" s="27"/>
      <c r="DDI1" s="27"/>
      <c r="DDJ1" s="27"/>
      <c r="DDK1" s="27"/>
      <c r="DDL1" s="27"/>
      <c r="DDM1" s="27"/>
      <c r="DDN1" s="27"/>
      <c r="DDO1" s="27"/>
      <c r="DDP1" s="27"/>
      <c r="DDQ1" s="27"/>
      <c r="DDR1" s="27"/>
      <c r="DDS1" s="27"/>
      <c r="DDT1" s="27"/>
      <c r="DDU1" s="27"/>
      <c r="DDV1" s="27"/>
      <c r="DDW1" s="27"/>
      <c r="DDX1" s="27"/>
      <c r="DDY1" s="27"/>
      <c r="DDZ1" s="27"/>
      <c r="DEA1" s="27"/>
      <c r="DEB1" s="27"/>
      <c r="DEC1" s="27"/>
      <c r="DED1" s="27"/>
      <c r="DEE1" s="27"/>
      <c r="DEF1" s="27"/>
      <c r="DEG1" s="27"/>
      <c r="DEH1" s="27"/>
      <c r="DEI1" s="27"/>
      <c r="DEJ1" s="27"/>
      <c r="DEK1" s="27"/>
      <c r="DEL1" s="27"/>
      <c r="DEM1" s="27"/>
      <c r="DEN1" s="27"/>
      <c r="DEO1" s="27"/>
      <c r="DEP1" s="27"/>
      <c r="DEQ1" s="27"/>
      <c r="DER1" s="27"/>
      <c r="DES1" s="27"/>
      <c r="DET1" s="27"/>
      <c r="DEU1" s="27"/>
      <c r="DEV1" s="27"/>
      <c r="DEW1" s="27"/>
      <c r="DEX1" s="27"/>
      <c r="DEY1" s="27"/>
      <c r="DEZ1" s="27"/>
      <c r="DFA1" s="27"/>
      <c r="DFB1" s="27"/>
      <c r="DFC1" s="27"/>
      <c r="DFD1" s="27"/>
      <c r="DFE1" s="27"/>
      <c r="DFF1" s="27"/>
      <c r="DFG1" s="27"/>
      <c r="DFH1" s="27"/>
      <c r="DFI1" s="27"/>
      <c r="DFJ1" s="27"/>
      <c r="DFK1" s="27"/>
      <c r="DFL1" s="27"/>
      <c r="DFM1" s="27"/>
      <c r="DFN1" s="27"/>
      <c r="DFO1" s="27"/>
      <c r="DFP1" s="27"/>
      <c r="DFQ1" s="27"/>
      <c r="DFR1" s="27"/>
      <c r="DFS1" s="27"/>
      <c r="DFT1" s="27"/>
      <c r="DFU1" s="27"/>
      <c r="DFV1" s="27"/>
      <c r="DFW1" s="27"/>
      <c r="DFX1" s="27"/>
      <c r="DFY1" s="27"/>
      <c r="DFZ1" s="27"/>
      <c r="DGA1" s="27"/>
      <c r="DGB1" s="27"/>
      <c r="DGC1" s="27"/>
      <c r="DGD1" s="27"/>
      <c r="DGE1" s="27"/>
      <c r="DGF1" s="27"/>
      <c r="DGG1" s="27"/>
      <c r="DGH1" s="27"/>
      <c r="DGI1" s="27"/>
      <c r="DGJ1" s="27"/>
      <c r="DGK1" s="27"/>
      <c r="DGL1" s="27"/>
      <c r="DGM1" s="27"/>
      <c r="DGN1" s="27"/>
      <c r="DGO1" s="27"/>
      <c r="DGP1" s="27"/>
      <c r="DGQ1" s="27"/>
      <c r="DGR1" s="27"/>
      <c r="DGS1" s="27"/>
      <c r="DGT1" s="27"/>
      <c r="DGU1" s="27"/>
      <c r="DGV1" s="27"/>
      <c r="DGW1" s="27"/>
      <c r="DGX1" s="27"/>
      <c r="DGY1" s="27"/>
      <c r="DGZ1" s="27"/>
      <c r="DHA1" s="27"/>
      <c r="DHB1" s="27"/>
      <c r="DHC1" s="27"/>
      <c r="DHD1" s="27"/>
      <c r="DHE1" s="27"/>
      <c r="DHF1" s="27"/>
      <c r="DHG1" s="27"/>
      <c r="DHH1" s="27"/>
      <c r="DHI1" s="27"/>
      <c r="DHJ1" s="27"/>
      <c r="DHK1" s="27"/>
      <c r="DHL1" s="27"/>
      <c r="DHM1" s="27"/>
      <c r="DHN1" s="27"/>
      <c r="DHO1" s="27"/>
      <c r="DHP1" s="27"/>
      <c r="DHQ1" s="27"/>
      <c r="DHR1" s="27"/>
      <c r="DHS1" s="27"/>
      <c r="DHT1" s="27"/>
      <c r="DHU1" s="27"/>
      <c r="DHV1" s="27"/>
      <c r="DHW1" s="27"/>
      <c r="DHX1" s="27"/>
      <c r="DHY1" s="27"/>
      <c r="DHZ1" s="27"/>
      <c r="DIA1" s="27"/>
      <c r="DIB1" s="27"/>
      <c r="DIC1" s="27"/>
      <c r="DID1" s="27"/>
      <c r="DIE1" s="27"/>
      <c r="DIF1" s="27"/>
      <c r="DIG1" s="27"/>
      <c r="DIH1" s="27"/>
      <c r="DII1" s="27"/>
      <c r="DIJ1" s="27"/>
      <c r="DIK1" s="27"/>
      <c r="DIL1" s="27"/>
      <c r="DIM1" s="27"/>
      <c r="DIN1" s="27"/>
      <c r="DIO1" s="27"/>
      <c r="DIP1" s="27"/>
      <c r="DIQ1" s="27"/>
      <c r="DIR1" s="27"/>
      <c r="DIS1" s="27"/>
      <c r="DIT1" s="27"/>
      <c r="DIU1" s="27"/>
      <c r="DIV1" s="27"/>
      <c r="DIW1" s="27"/>
      <c r="DIX1" s="27"/>
      <c r="DIY1" s="27"/>
      <c r="DIZ1" s="27"/>
      <c r="DJA1" s="27"/>
      <c r="DJB1" s="27"/>
      <c r="DJC1" s="27"/>
      <c r="DJD1" s="27"/>
      <c r="DJE1" s="27"/>
      <c r="DJF1" s="27"/>
      <c r="DJG1" s="27"/>
      <c r="DJH1" s="27"/>
      <c r="DJI1" s="27"/>
      <c r="DJJ1" s="27"/>
      <c r="DJK1" s="27"/>
      <c r="DJL1" s="27"/>
      <c r="DJM1" s="27"/>
      <c r="DJN1" s="27"/>
      <c r="DJO1" s="27"/>
      <c r="DJP1" s="27"/>
      <c r="DJQ1" s="27"/>
      <c r="DJR1" s="27"/>
      <c r="DJS1" s="27"/>
      <c r="DJT1" s="27"/>
      <c r="DJU1" s="27"/>
      <c r="DJV1" s="27"/>
      <c r="DJW1" s="27"/>
      <c r="DJX1" s="27"/>
      <c r="DJY1" s="27"/>
      <c r="DJZ1" s="27"/>
      <c r="DKA1" s="27"/>
      <c r="DKB1" s="27"/>
      <c r="DKC1" s="27"/>
      <c r="DKD1" s="27"/>
      <c r="DKE1" s="27"/>
      <c r="DKF1" s="27"/>
      <c r="DKG1" s="27"/>
      <c r="DKH1" s="27"/>
      <c r="DKI1" s="27"/>
      <c r="DKJ1" s="27"/>
      <c r="DKK1" s="27"/>
      <c r="DKL1" s="27"/>
      <c r="DKM1" s="27"/>
      <c r="DKN1" s="27"/>
      <c r="DKO1" s="27"/>
      <c r="DKP1" s="27"/>
      <c r="DKQ1" s="27"/>
      <c r="DKR1" s="27"/>
      <c r="DKS1" s="27"/>
      <c r="DKT1" s="27"/>
      <c r="DKU1" s="27"/>
      <c r="DKV1" s="27"/>
      <c r="DKW1" s="27"/>
      <c r="DKX1" s="27"/>
      <c r="DKY1" s="27"/>
      <c r="DKZ1" s="27"/>
      <c r="DLA1" s="27"/>
      <c r="DLB1" s="27"/>
      <c r="DLC1" s="27"/>
      <c r="DLD1" s="27"/>
      <c r="DLE1" s="27"/>
      <c r="DLF1" s="27"/>
      <c r="DLG1" s="27"/>
      <c r="DLH1" s="27"/>
      <c r="DLI1" s="27"/>
      <c r="DLJ1" s="27"/>
      <c r="DLK1" s="27"/>
      <c r="DLL1" s="27"/>
      <c r="DLM1" s="27"/>
      <c r="DLN1" s="27"/>
      <c r="DLO1" s="27"/>
      <c r="DLP1" s="27"/>
      <c r="DLQ1" s="27"/>
      <c r="DLR1" s="27"/>
      <c r="DLS1" s="27"/>
      <c r="DLT1" s="27"/>
      <c r="DLU1" s="27"/>
      <c r="DLV1" s="27"/>
      <c r="DLW1" s="27"/>
      <c r="DLX1" s="27"/>
      <c r="DLY1" s="27"/>
      <c r="DLZ1" s="27"/>
      <c r="DMA1" s="27"/>
      <c r="DMB1" s="27"/>
      <c r="DMC1" s="27"/>
      <c r="DMD1" s="27"/>
      <c r="DME1" s="27"/>
      <c r="DMF1" s="27"/>
      <c r="DMG1" s="27"/>
      <c r="DMH1" s="27"/>
      <c r="DMI1" s="27"/>
      <c r="DMJ1" s="27"/>
      <c r="DMK1" s="27"/>
      <c r="DML1" s="27"/>
      <c r="DMM1" s="27"/>
      <c r="DMN1" s="27"/>
      <c r="DMO1" s="27"/>
      <c r="DMP1" s="27"/>
      <c r="DMQ1" s="27"/>
      <c r="DMR1" s="27"/>
      <c r="DMS1" s="27"/>
      <c r="DMT1" s="27"/>
      <c r="DMU1" s="27"/>
      <c r="DMV1" s="27"/>
      <c r="DMW1" s="27"/>
      <c r="DMX1" s="27"/>
      <c r="DMY1" s="27"/>
      <c r="DMZ1" s="27"/>
      <c r="DNA1" s="27"/>
      <c r="DNB1" s="27"/>
      <c r="DNC1" s="27"/>
      <c r="DND1" s="27"/>
      <c r="DNE1" s="27"/>
      <c r="DNF1" s="27"/>
      <c r="DNG1" s="27"/>
      <c r="DNH1" s="27"/>
      <c r="DNI1" s="27"/>
      <c r="DNJ1" s="27"/>
      <c r="DNK1" s="27"/>
      <c r="DNL1" s="27"/>
      <c r="DNM1" s="27"/>
      <c r="DNN1" s="27"/>
      <c r="DNO1" s="27"/>
      <c r="DNP1" s="27"/>
      <c r="DNQ1" s="27"/>
      <c r="DNR1" s="27"/>
      <c r="DNS1" s="27"/>
      <c r="DNT1" s="27"/>
      <c r="DNU1" s="27"/>
      <c r="DNV1" s="27"/>
      <c r="DNW1" s="27"/>
      <c r="DNX1" s="27"/>
      <c r="DNY1" s="27"/>
      <c r="DNZ1" s="27"/>
      <c r="DOA1" s="27"/>
      <c r="DOB1" s="27"/>
      <c r="DOC1" s="27"/>
      <c r="DOD1" s="27"/>
      <c r="DOE1" s="27"/>
      <c r="DOF1" s="27"/>
      <c r="DOG1" s="27"/>
      <c r="DOH1" s="27"/>
      <c r="DOI1" s="27"/>
      <c r="DOJ1" s="27"/>
      <c r="DOK1" s="27"/>
      <c r="DOL1" s="27"/>
      <c r="DOM1" s="27"/>
      <c r="DON1" s="27"/>
      <c r="DOO1" s="27"/>
      <c r="DOP1" s="27"/>
      <c r="DOQ1" s="27"/>
      <c r="DOR1" s="27"/>
      <c r="DOS1" s="27"/>
      <c r="DOT1" s="27"/>
      <c r="DOU1" s="27"/>
      <c r="DOV1" s="27"/>
      <c r="DOW1" s="27"/>
      <c r="DOX1" s="27"/>
      <c r="DOY1" s="27"/>
      <c r="DOZ1" s="27"/>
      <c r="DPA1" s="27"/>
      <c r="DPB1" s="27"/>
      <c r="DPC1" s="27"/>
      <c r="DPD1" s="27"/>
      <c r="DPE1" s="27"/>
      <c r="DPF1" s="27"/>
      <c r="DPG1" s="27"/>
      <c r="DPH1" s="27"/>
      <c r="DPI1" s="27"/>
      <c r="DPJ1" s="27"/>
      <c r="DPK1" s="27"/>
      <c r="DPL1" s="27"/>
      <c r="DPM1" s="27"/>
      <c r="DPN1" s="27"/>
      <c r="DPO1" s="27"/>
      <c r="DPP1" s="27"/>
      <c r="DPQ1" s="27"/>
      <c r="DPR1" s="27"/>
      <c r="DPS1" s="27"/>
      <c r="DPT1" s="27"/>
      <c r="DPU1" s="27"/>
      <c r="DPV1" s="27"/>
      <c r="DPW1" s="27"/>
      <c r="DPX1" s="27"/>
      <c r="DPY1" s="27"/>
      <c r="DPZ1" s="27"/>
      <c r="DQA1" s="27"/>
      <c r="DQB1" s="27"/>
      <c r="DQC1" s="27"/>
      <c r="DQD1" s="27"/>
      <c r="DQE1" s="27"/>
      <c r="DQF1" s="27"/>
      <c r="DQG1" s="27"/>
      <c r="DQH1" s="27"/>
      <c r="DQI1" s="27"/>
      <c r="DQJ1" s="27"/>
      <c r="DQK1" s="27"/>
      <c r="DQL1" s="27"/>
      <c r="DQM1" s="27"/>
      <c r="DQN1" s="27"/>
      <c r="DQO1" s="27"/>
      <c r="DQP1" s="27"/>
      <c r="DQQ1" s="27"/>
      <c r="DQR1" s="27"/>
      <c r="DQS1" s="27"/>
      <c r="DQT1" s="27"/>
      <c r="DQU1" s="27"/>
      <c r="DQV1" s="27"/>
      <c r="DQW1" s="27"/>
      <c r="DQX1" s="27"/>
      <c r="DQY1" s="27"/>
      <c r="DQZ1" s="27"/>
      <c r="DRA1" s="27"/>
      <c r="DRB1" s="27"/>
      <c r="DRC1" s="27"/>
      <c r="DRD1" s="27"/>
      <c r="DRE1" s="27"/>
      <c r="DRF1" s="27"/>
      <c r="DRG1" s="27"/>
      <c r="DRH1" s="27"/>
      <c r="DRI1" s="27"/>
      <c r="DRJ1" s="27"/>
      <c r="DRK1" s="27"/>
      <c r="DRL1" s="27"/>
      <c r="DRM1" s="27"/>
      <c r="DRN1" s="27"/>
      <c r="DRO1" s="27"/>
      <c r="DRP1" s="27"/>
      <c r="DRQ1" s="27"/>
      <c r="DRR1" s="27"/>
      <c r="DRS1" s="27"/>
      <c r="DRT1" s="27"/>
      <c r="DRU1" s="27"/>
      <c r="DRV1" s="27"/>
      <c r="DRW1" s="27"/>
      <c r="DRX1" s="27"/>
      <c r="DRY1" s="27"/>
      <c r="DRZ1" s="27"/>
      <c r="DSA1" s="27"/>
      <c r="DSB1" s="27"/>
      <c r="DSC1" s="27"/>
      <c r="DSD1" s="27"/>
      <c r="DSE1" s="27"/>
      <c r="DSF1" s="27"/>
      <c r="DSG1" s="27"/>
      <c r="DSH1" s="27"/>
      <c r="DSI1" s="27"/>
      <c r="DSJ1" s="27"/>
      <c r="DSK1" s="27"/>
      <c r="DSL1" s="27"/>
      <c r="DSM1" s="27"/>
      <c r="DSN1" s="27"/>
      <c r="DSO1" s="27"/>
      <c r="DSP1" s="27"/>
      <c r="DSQ1" s="27"/>
      <c r="DSR1" s="27"/>
      <c r="DSS1" s="27"/>
      <c r="DST1" s="27"/>
      <c r="DSU1" s="27"/>
      <c r="DSV1" s="27"/>
      <c r="DSW1" s="27"/>
      <c r="DSX1" s="27"/>
      <c r="DSY1" s="27"/>
      <c r="DSZ1" s="27"/>
      <c r="DTA1" s="27"/>
      <c r="DTB1" s="27"/>
      <c r="DTC1" s="27"/>
      <c r="DTD1" s="27"/>
      <c r="DTE1" s="27"/>
      <c r="DTF1" s="27"/>
      <c r="DTG1" s="27"/>
      <c r="DTH1" s="27"/>
      <c r="DTI1" s="27"/>
      <c r="DTJ1" s="27"/>
      <c r="DTK1" s="27"/>
      <c r="DTL1" s="27"/>
      <c r="DTM1" s="27"/>
      <c r="DTN1" s="27"/>
      <c r="DTO1" s="27"/>
      <c r="DTP1" s="27"/>
      <c r="DTQ1" s="27"/>
      <c r="DTR1" s="27"/>
      <c r="DTS1" s="27"/>
      <c r="DTT1" s="27"/>
      <c r="DTU1" s="27"/>
      <c r="DTV1" s="27"/>
      <c r="DTW1" s="27"/>
      <c r="DTX1" s="27"/>
      <c r="DTY1" s="27"/>
      <c r="DTZ1" s="27"/>
      <c r="DUA1" s="27"/>
      <c r="DUB1" s="27"/>
      <c r="DUC1" s="27"/>
      <c r="DUD1" s="27"/>
      <c r="DUE1" s="27"/>
      <c r="DUF1" s="27"/>
      <c r="DUG1" s="27"/>
      <c r="DUH1" s="27"/>
      <c r="DUI1" s="27"/>
      <c r="DUJ1" s="27"/>
      <c r="DUK1" s="27"/>
      <c r="DUL1" s="27"/>
      <c r="DUM1" s="27"/>
      <c r="DUN1" s="27"/>
      <c r="DUO1" s="27"/>
      <c r="DUP1" s="27"/>
      <c r="DUQ1" s="27"/>
      <c r="DUR1" s="27"/>
      <c r="DUS1" s="27"/>
      <c r="DUT1" s="27"/>
      <c r="DUU1" s="27"/>
      <c r="DUV1" s="27"/>
      <c r="DUW1" s="27"/>
      <c r="DUX1" s="27"/>
      <c r="DUY1" s="27"/>
      <c r="DUZ1" s="27"/>
      <c r="DVA1" s="27"/>
      <c r="DVB1" s="27"/>
      <c r="DVC1" s="27"/>
      <c r="DVD1" s="27"/>
      <c r="DVE1" s="27"/>
      <c r="DVF1" s="27"/>
      <c r="DVG1" s="27"/>
      <c r="DVH1" s="27"/>
      <c r="DVI1" s="27"/>
      <c r="DVJ1" s="27"/>
      <c r="DVK1" s="27"/>
      <c r="DVL1" s="27"/>
      <c r="DVM1" s="27"/>
      <c r="DVN1" s="27"/>
      <c r="DVO1" s="27"/>
      <c r="DVP1" s="27"/>
      <c r="DVQ1" s="27"/>
      <c r="DVR1" s="27"/>
      <c r="DVS1" s="27"/>
      <c r="DVT1" s="27"/>
      <c r="DVU1" s="27"/>
      <c r="DVV1" s="27"/>
      <c r="DVW1" s="27"/>
      <c r="DVX1" s="27"/>
      <c r="DVY1" s="27"/>
      <c r="DVZ1" s="27"/>
      <c r="DWA1" s="27"/>
      <c r="DWB1" s="27"/>
      <c r="DWC1" s="27"/>
      <c r="DWD1" s="27"/>
      <c r="DWE1" s="27"/>
      <c r="DWF1" s="27"/>
      <c r="DWG1" s="27"/>
      <c r="DWH1" s="27"/>
      <c r="DWI1" s="27"/>
      <c r="DWJ1" s="27"/>
      <c r="DWK1" s="27"/>
      <c r="DWL1" s="27"/>
      <c r="DWM1" s="27"/>
      <c r="DWN1" s="27"/>
      <c r="DWO1" s="27"/>
      <c r="DWP1" s="27"/>
      <c r="DWQ1" s="27"/>
      <c r="DWR1" s="27"/>
      <c r="DWS1" s="27"/>
      <c r="DWT1" s="27"/>
      <c r="DWU1" s="27"/>
      <c r="DWV1" s="27"/>
      <c r="DWW1" s="27"/>
      <c r="DWX1" s="27"/>
      <c r="DWY1" s="27"/>
      <c r="DWZ1" s="27"/>
      <c r="DXA1" s="27"/>
      <c r="DXB1" s="27"/>
      <c r="DXC1" s="27"/>
      <c r="DXD1" s="27"/>
      <c r="DXE1" s="27"/>
      <c r="DXF1" s="27"/>
      <c r="DXG1" s="27"/>
      <c r="DXH1" s="27"/>
      <c r="DXI1" s="27"/>
      <c r="DXJ1" s="27"/>
      <c r="DXK1" s="27"/>
      <c r="DXL1" s="27"/>
      <c r="DXM1" s="27"/>
      <c r="DXN1" s="27"/>
      <c r="DXO1" s="27"/>
      <c r="DXP1" s="27"/>
      <c r="DXQ1" s="27"/>
      <c r="DXR1" s="27"/>
      <c r="DXS1" s="27"/>
      <c r="DXT1" s="27"/>
      <c r="DXU1" s="27"/>
      <c r="DXV1" s="27"/>
      <c r="DXW1" s="27"/>
      <c r="DXX1" s="27"/>
      <c r="DXY1" s="27"/>
      <c r="DXZ1" s="27"/>
      <c r="DYA1" s="27"/>
      <c r="DYB1" s="27"/>
      <c r="DYC1" s="27"/>
      <c r="DYD1" s="27"/>
      <c r="DYE1" s="27"/>
      <c r="DYF1" s="27"/>
      <c r="DYG1" s="27"/>
      <c r="DYH1" s="27"/>
      <c r="DYI1" s="27"/>
      <c r="DYJ1" s="27"/>
      <c r="DYK1" s="27"/>
      <c r="DYL1" s="27"/>
      <c r="DYM1" s="27"/>
      <c r="DYN1" s="27"/>
      <c r="DYO1" s="27"/>
      <c r="DYP1" s="27"/>
      <c r="DYQ1" s="27"/>
      <c r="DYR1" s="27"/>
      <c r="DYS1" s="27"/>
      <c r="DYT1" s="27"/>
      <c r="DYU1" s="27"/>
      <c r="DYV1" s="27"/>
      <c r="DYW1" s="27"/>
      <c r="DYX1" s="27"/>
      <c r="DYY1" s="27"/>
      <c r="DYZ1" s="27"/>
      <c r="DZA1" s="27"/>
      <c r="DZB1" s="27"/>
      <c r="DZC1" s="27"/>
      <c r="DZD1" s="27"/>
      <c r="DZE1" s="27"/>
      <c r="DZF1" s="27"/>
      <c r="DZG1" s="27"/>
      <c r="DZH1" s="27"/>
      <c r="DZI1" s="27"/>
      <c r="DZJ1" s="27"/>
      <c r="DZK1" s="27"/>
      <c r="DZL1" s="27"/>
      <c r="DZM1" s="27"/>
      <c r="DZN1" s="27"/>
      <c r="DZO1" s="27"/>
      <c r="DZP1" s="27"/>
      <c r="DZQ1" s="27"/>
      <c r="DZR1" s="27"/>
      <c r="DZS1" s="27"/>
      <c r="DZT1" s="27"/>
      <c r="DZU1" s="27"/>
      <c r="DZV1" s="27"/>
      <c r="DZW1" s="27"/>
      <c r="DZX1" s="27"/>
      <c r="DZY1" s="27"/>
      <c r="DZZ1" s="27"/>
      <c r="EAA1" s="27"/>
      <c r="EAB1" s="27"/>
      <c r="EAC1" s="27"/>
      <c r="EAD1" s="27"/>
      <c r="EAE1" s="27"/>
      <c r="EAF1" s="27"/>
      <c r="EAG1" s="27"/>
      <c r="EAH1" s="27"/>
      <c r="EAI1" s="27"/>
      <c r="EAJ1" s="27"/>
      <c r="EAK1" s="27"/>
      <c r="EAL1" s="27"/>
      <c r="EAM1" s="27"/>
      <c r="EAN1" s="27"/>
      <c r="EAO1" s="27"/>
      <c r="EAP1" s="27"/>
      <c r="EAQ1" s="27"/>
      <c r="EAR1" s="27"/>
      <c r="EAS1" s="27"/>
      <c r="EAT1" s="27"/>
      <c r="EAU1" s="27"/>
      <c r="EAV1" s="27"/>
      <c r="EAW1" s="27"/>
      <c r="EAX1" s="27"/>
      <c r="EAY1" s="27"/>
      <c r="EAZ1" s="27"/>
      <c r="EBA1" s="27"/>
      <c r="EBB1" s="27"/>
      <c r="EBC1" s="27"/>
      <c r="EBD1" s="27"/>
      <c r="EBE1" s="27"/>
      <c r="EBF1" s="27"/>
      <c r="EBG1" s="27"/>
      <c r="EBH1" s="27"/>
      <c r="EBI1" s="27"/>
      <c r="EBJ1" s="27"/>
      <c r="EBK1" s="27"/>
      <c r="EBL1" s="27"/>
      <c r="EBM1" s="27"/>
      <c r="EBN1" s="27"/>
      <c r="EBO1" s="27"/>
      <c r="EBP1" s="27"/>
      <c r="EBQ1" s="27"/>
      <c r="EBR1" s="27"/>
      <c r="EBS1" s="27"/>
      <c r="EBT1" s="27"/>
      <c r="EBU1" s="27"/>
      <c r="EBV1" s="27"/>
      <c r="EBW1" s="27"/>
      <c r="EBX1" s="27"/>
      <c r="EBY1" s="27"/>
      <c r="EBZ1" s="27"/>
      <c r="ECA1" s="27"/>
      <c r="ECB1" s="27"/>
      <c r="ECC1" s="27"/>
      <c r="ECD1" s="27"/>
      <c r="ECE1" s="27"/>
      <c r="ECF1" s="27"/>
      <c r="ECG1" s="27"/>
      <c r="ECH1" s="27"/>
      <c r="ECI1" s="27"/>
      <c r="ECJ1" s="27"/>
      <c r="ECK1" s="27"/>
      <c r="ECL1" s="27"/>
      <c r="ECM1" s="27"/>
      <c r="ECN1" s="27"/>
      <c r="ECO1" s="27"/>
      <c r="ECP1" s="27"/>
      <c r="ECQ1" s="27"/>
      <c r="ECR1" s="27"/>
      <c r="ECS1" s="27"/>
      <c r="ECT1" s="27"/>
      <c r="ECU1" s="27"/>
      <c r="ECV1" s="27"/>
      <c r="ECW1" s="27"/>
      <c r="ECX1" s="27"/>
      <c r="ECY1" s="27"/>
      <c r="ECZ1" s="27"/>
      <c r="EDA1" s="27"/>
      <c r="EDB1" s="27"/>
      <c r="EDC1" s="27"/>
      <c r="EDD1" s="27"/>
      <c r="EDE1" s="27"/>
      <c r="EDF1" s="27"/>
      <c r="EDG1" s="27"/>
      <c r="EDH1" s="27"/>
      <c r="EDI1" s="27"/>
      <c r="EDJ1" s="27"/>
      <c r="EDK1" s="27"/>
      <c r="EDL1" s="27"/>
      <c r="EDM1" s="27"/>
      <c r="EDN1" s="27"/>
      <c r="EDO1" s="27"/>
      <c r="EDP1" s="27"/>
      <c r="EDQ1" s="27"/>
      <c r="EDR1" s="27"/>
      <c r="EDS1" s="27"/>
      <c r="EDT1" s="27"/>
      <c r="EDU1" s="27"/>
      <c r="EDV1" s="27"/>
      <c r="EDW1" s="27"/>
      <c r="EDX1" s="27"/>
      <c r="EDY1" s="27"/>
      <c r="EDZ1" s="27"/>
      <c r="EEA1" s="27"/>
      <c r="EEB1" s="27"/>
      <c r="EEC1" s="27"/>
      <c r="EED1" s="27"/>
      <c r="EEE1" s="27"/>
      <c r="EEF1" s="27"/>
      <c r="EEG1" s="27"/>
      <c r="EEH1" s="27"/>
      <c r="EEI1" s="27"/>
      <c r="EEJ1" s="27"/>
      <c r="EEK1" s="27"/>
      <c r="EEL1" s="27"/>
      <c r="EEM1" s="27"/>
      <c r="EEN1" s="27"/>
      <c r="EEO1" s="27"/>
      <c r="EEP1" s="27"/>
      <c r="EEQ1" s="27"/>
      <c r="EER1" s="27"/>
      <c r="EES1" s="27"/>
      <c r="EET1" s="27"/>
      <c r="EEU1" s="27"/>
      <c r="EEV1" s="27"/>
      <c r="EEW1" s="27"/>
      <c r="EEX1" s="27"/>
      <c r="EEY1" s="27"/>
      <c r="EEZ1" s="27"/>
      <c r="EFA1" s="27"/>
      <c r="EFB1" s="27"/>
      <c r="EFC1" s="27"/>
      <c r="EFD1" s="27"/>
      <c r="EFE1" s="27"/>
      <c r="EFF1" s="27"/>
      <c r="EFG1" s="27"/>
      <c r="EFH1" s="27"/>
      <c r="EFI1" s="27"/>
      <c r="EFJ1" s="27"/>
      <c r="EFK1" s="27"/>
      <c r="EFL1" s="27"/>
      <c r="EFM1" s="27"/>
      <c r="EFN1" s="27"/>
      <c r="EFO1" s="27"/>
      <c r="EFP1" s="27"/>
      <c r="EFQ1" s="27"/>
      <c r="EFR1" s="27"/>
      <c r="EFS1" s="27"/>
      <c r="EFT1" s="27"/>
      <c r="EFU1" s="27"/>
      <c r="EFV1" s="27"/>
      <c r="EFW1" s="27"/>
      <c r="EFX1" s="27"/>
      <c r="EFY1" s="27"/>
      <c r="EFZ1" s="27"/>
      <c r="EGA1" s="27"/>
      <c r="EGB1" s="27"/>
      <c r="EGC1" s="27"/>
      <c r="EGD1" s="27"/>
      <c r="EGE1" s="27"/>
      <c r="EGF1" s="27"/>
      <c r="EGG1" s="27"/>
      <c r="EGH1" s="27"/>
      <c r="EGI1" s="27"/>
      <c r="EGJ1" s="27"/>
      <c r="EGK1" s="27"/>
      <c r="EGL1" s="27"/>
      <c r="EGM1" s="27"/>
      <c r="EGN1" s="27"/>
      <c r="EGO1" s="27"/>
      <c r="EGP1" s="27"/>
      <c r="EGQ1" s="27"/>
      <c r="EGR1" s="27"/>
      <c r="EGS1" s="27"/>
      <c r="EGT1" s="27"/>
      <c r="EGU1" s="27"/>
      <c r="EGV1" s="27"/>
      <c r="EGW1" s="27"/>
      <c r="EGX1" s="27"/>
      <c r="EGY1" s="27"/>
      <c r="EGZ1" s="27"/>
      <c r="EHA1" s="27"/>
      <c r="EHB1" s="27"/>
      <c r="EHC1" s="27"/>
      <c r="EHD1" s="27"/>
      <c r="EHE1" s="27"/>
      <c r="EHF1" s="27"/>
      <c r="EHG1" s="27"/>
      <c r="EHH1" s="27"/>
      <c r="EHI1" s="27"/>
      <c r="EHJ1" s="27"/>
      <c r="EHK1" s="27"/>
      <c r="EHL1" s="27"/>
      <c r="EHM1" s="27"/>
      <c r="EHN1" s="27"/>
      <c r="EHO1" s="27"/>
      <c r="EHP1" s="27"/>
      <c r="EHQ1" s="27"/>
      <c r="EHR1" s="27"/>
      <c r="EHS1" s="27"/>
      <c r="EHT1" s="27"/>
      <c r="EHU1" s="27"/>
      <c r="EHV1" s="27"/>
      <c r="EHW1" s="27"/>
      <c r="EHX1" s="27"/>
      <c r="EHY1" s="27"/>
      <c r="EHZ1" s="27"/>
      <c r="EIA1" s="27"/>
      <c r="EIB1" s="27"/>
      <c r="EIC1" s="27"/>
      <c r="EID1" s="27"/>
      <c r="EIE1" s="27"/>
      <c r="EIF1" s="27"/>
      <c r="EIG1" s="27"/>
      <c r="EIH1" s="27"/>
      <c r="EII1" s="27"/>
      <c r="EIJ1" s="27"/>
      <c r="EIK1" s="27"/>
      <c r="EIL1" s="27"/>
      <c r="EIM1" s="27"/>
      <c r="EIN1" s="27"/>
      <c r="EIO1" s="27"/>
      <c r="EIP1" s="27"/>
      <c r="EIQ1" s="27"/>
      <c r="EIR1" s="27"/>
      <c r="EIS1" s="27"/>
      <c r="EIT1" s="27"/>
      <c r="EIU1" s="27"/>
      <c r="EIV1" s="27"/>
      <c r="EIW1" s="27"/>
      <c r="EIX1" s="27"/>
      <c r="EIY1" s="27"/>
      <c r="EIZ1" s="27"/>
      <c r="EJA1" s="27"/>
      <c r="EJB1" s="27"/>
      <c r="EJC1" s="27"/>
      <c r="EJD1" s="27"/>
      <c r="EJE1" s="27"/>
      <c r="EJF1" s="27"/>
      <c r="EJG1" s="27"/>
      <c r="EJH1" s="27"/>
      <c r="EJI1" s="27"/>
      <c r="EJJ1" s="27"/>
      <c r="EJK1" s="27"/>
      <c r="EJL1" s="27"/>
      <c r="EJM1" s="27"/>
      <c r="EJN1" s="27"/>
      <c r="EJO1" s="27"/>
      <c r="EJP1" s="27"/>
      <c r="EJQ1" s="27"/>
      <c r="EJR1" s="27"/>
      <c r="EJS1" s="27"/>
      <c r="EJT1" s="27"/>
      <c r="EJU1" s="27"/>
      <c r="EJV1" s="27"/>
      <c r="EJW1" s="27"/>
      <c r="EJX1" s="27"/>
      <c r="EJY1" s="27"/>
      <c r="EJZ1" s="27"/>
      <c r="EKA1" s="27"/>
      <c r="EKB1" s="27"/>
      <c r="EKC1" s="27"/>
      <c r="EKD1" s="27"/>
      <c r="EKE1" s="27"/>
      <c r="EKF1" s="27"/>
      <c r="EKG1" s="27"/>
      <c r="EKH1" s="27"/>
      <c r="EKI1" s="27"/>
      <c r="EKJ1" s="27"/>
      <c r="EKK1" s="27"/>
      <c r="EKL1" s="27"/>
      <c r="EKM1" s="27"/>
      <c r="EKN1" s="27"/>
      <c r="EKO1" s="27"/>
      <c r="EKP1" s="27"/>
      <c r="EKQ1" s="27"/>
      <c r="EKR1" s="27"/>
      <c r="EKS1" s="27"/>
      <c r="EKT1" s="27"/>
      <c r="EKU1" s="27"/>
      <c r="EKV1" s="27"/>
      <c r="EKW1" s="27"/>
      <c r="EKX1" s="27"/>
      <c r="EKY1" s="27"/>
      <c r="EKZ1" s="27"/>
      <c r="ELA1" s="27"/>
      <c r="ELB1" s="27"/>
      <c r="ELC1" s="27"/>
      <c r="ELD1" s="27"/>
      <c r="ELE1" s="27"/>
      <c r="ELF1" s="27"/>
      <c r="ELG1" s="27"/>
      <c r="ELH1" s="27"/>
      <c r="ELI1" s="27"/>
      <c r="ELJ1" s="27"/>
      <c r="ELK1" s="27"/>
      <c r="ELL1" s="27"/>
      <c r="ELM1" s="27"/>
      <c r="ELN1" s="27"/>
      <c r="ELO1" s="27"/>
      <c r="ELP1" s="27"/>
      <c r="ELQ1" s="27"/>
      <c r="ELR1" s="27"/>
      <c r="ELS1" s="27"/>
      <c r="ELT1" s="27"/>
      <c r="ELU1" s="27"/>
      <c r="ELV1" s="27"/>
      <c r="ELW1" s="27"/>
      <c r="ELX1" s="27"/>
      <c r="ELY1" s="27"/>
      <c r="ELZ1" s="27"/>
      <c r="EMA1" s="27"/>
      <c r="EMB1" s="27"/>
      <c r="EMC1" s="27"/>
      <c r="EMD1" s="27"/>
      <c r="EME1" s="27"/>
      <c r="EMF1" s="27"/>
      <c r="EMG1" s="27"/>
      <c r="EMH1" s="27"/>
      <c r="EMI1" s="27"/>
      <c r="EMJ1" s="27"/>
      <c r="EMK1" s="27"/>
      <c r="EML1" s="27"/>
      <c r="EMM1" s="27"/>
      <c r="EMN1" s="27"/>
      <c r="EMO1" s="27"/>
      <c r="EMP1" s="27"/>
      <c r="EMQ1" s="27"/>
      <c r="EMR1" s="27"/>
      <c r="EMS1" s="27"/>
      <c r="EMT1" s="27"/>
      <c r="EMU1" s="27"/>
      <c r="EMV1" s="27"/>
      <c r="EMW1" s="27"/>
      <c r="EMX1" s="27"/>
      <c r="EMY1" s="27"/>
      <c r="EMZ1" s="27"/>
      <c r="ENA1" s="27"/>
      <c r="ENB1" s="27"/>
      <c r="ENC1" s="27"/>
      <c r="END1" s="27"/>
      <c r="ENE1" s="27"/>
      <c r="ENF1" s="27"/>
      <c r="ENG1" s="27"/>
      <c r="ENH1" s="27"/>
      <c r="ENI1" s="27"/>
      <c r="ENJ1" s="27"/>
      <c r="ENK1" s="27"/>
      <c r="ENL1" s="27"/>
      <c r="ENM1" s="27"/>
      <c r="ENN1" s="27"/>
      <c r="ENO1" s="27"/>
      <c r="ENP1" s="27"/>
      <c r="ENQ1" s="27"/>
      <c r="ENR1" s="27"/>
      <c r="ENS1" s="27"/>
      <c r="ENT1" s="27"/>
      <c r="ENU1" s="27"/>
      <c r="ENV1" s="27"/>
      <c r="ENW1" s="27"/>
      <c r="ENX1" s="27"/>
      <c r="ENY1" s="27"/>
      <c r="ENZ1" s="27"/>
      <c r="EOA1" s="27"/>
      <c r="EOB1" s="27"/>
      <c r="EOC1" s="27"/>
      <c r="EOD1" s="27"/>
      <c r="EOE1" s="27"/>
      <c r="EOF1" s="27"/>
      <c r="EOG1" s="27"/>
      <c r="EOH1" s="27"/>
      <c r="EOI1" s="27"/>
      <c r="EOJ1" s="27"/>
      <c r="EOK1" s="27"/>
      <c r="EOL1" s="27"/>
      <c r="EOM1" s="27"/>
      <c r="EON1" s="27"/>
      <c r="EOO1" s="27"/>
      <c r="EOP1" s="27"/>
      <c r="EOQ1" s="27"/>
      <c r="EOR1" s="27"/>
      <c r="EOS1" s="27"/>
      <c r="EOT1" s="27"/>
      <c r="EOU1" s="27"/>
      <c r="EOV1" s="27"/>
      <c r="EOW1" s="27"/>
      <c r="EOX1" s="27"/>
      <c r="EOY1" s="27"/>
      <c r="EOZ1" s="27"/>
      <c r="EPA1" s="27"/>
      <c r="EPB1" s="27"/>
      <c r="EPC1" s="27"/>
      <c r="EPD1" s="27"/>
      <c r="EPE1" s="27"/>
      <c r="EPF1" s="27"/>
      <c r="EPG1" s="27"/>
      <c r="EPH1" s="27"/>
      <c r="EPI1" s="27"/>
      <c r="EPJ1" s="27"/>
      <c r="EPK1" s="27"/>
      <c r="EPL1" s="27"/>
      <c r="EPM1" s="27"/>
      <c r="EPN1" s="27"/>
      <c r="EPO1" s="27"/>
      <c r="EPP1" s="27"/>
      <c r="EPQ1" s="27"/>
      <c r="EPR1" s="27"/>
      <c r="EPS1" s="27"/>
      <c r="EPT1" s="27"/>
      <c r="EPU1" s="27"/>
      <c r="EPV1" s="27"/>
      <c r="EPW1" s="27"/>
      <c r="EPX1" s="27"/>
      <c r="EPY1" s="27"/>
      <c r="EPZ1" s="27"/>
      <c r="EQA1" s="27"/>
      <c r="EQB1" s="27"/>
      <c r="EQC1" s="27"/>
      <c r="EQD1" s="27"/>
      <c r="EQE1" s="27"/>
      <c r="EQF1" s="27"/>
      <c r="EQG1" s="27"/>
      <c r="EQH1" s="27"/>
      <c r="EQI1" s="27"/>
      <c r="EQJ1" s="27"/>
      <c r="EQK1" s="27"/>
      <c r="EQL1" s="27"/>
      <c r="EQM1" s="27"/>
      <c r="EQN1" s="27"/>
      <c r="EQO1" s="27"/>
      <c r="EQP1" s="27"/>
      <c r="EQQ1" s="27"/>
      <c r="EQR1" s="27"/>
      <c r="EQS1" s="27"/>
      <c r="EQT1" s="27"/>
      <c r="EQU1" s="27"/>
      <c r="EQV1" s="27"/>
      <c r="EQW1" s="27"/>
      <c r="EQX1" s="27"/>
      <c r="EQY1" s="27"/>
      <c r="EQZ1" s="27"/>
      <c r="ERA1" s="27"/>
      <c r="ERB1" s="27"/>
      <c r="ERC1" s="27"/>
      <c r="ERD1" s="27"/>
      <c r="ERE1" s="27"/>
      <c r="ERF1" s="27"/>
      <c r="ERG1" s="27"/>
      <c r="ERH1" s="27"/>
      <c r="ERI1" s="27"/>
      <c r="ERJ1" s="27"/>
      <c r="ERK1" s="27"/>
      <c r="ERL1" s="27"/>
      <c r="ERM1" s="27"/>
      <c r="ERN1" s="27"/>
      <c r="ERO1" s="27"/>
      <c r="ERP1" s="27"/>
      <c r="ERQ1" s="27"/>
      <c r="ERR1" s="27"/>
      <c r="ERS1" s="27"/>
      <c r="ERT1" s="27"/>
      <c r="ERU1" s="27"/>
      <c r="ERV1" s="27"/>
      <c r="ERW1" s="27"/>
      <c r="ERX1" s="27"/>
      <c r="ERY1" s="27"/>
      <c r="ERZ1" s="27"/>
      <c r="ESA1" s="27"/>
      <c r="ESB1" s="27"/>
      <c r="ESC1" s="27"/>
      <c r="ESD1" s="27"/>
      <c r="ESE1" s="27"/>
      <c r="ESF1" s="27"/>
      <c r="ESG1" s="27"/>
      <c r="ESH1" s="27"/>
      <c r="ESI1" s="27"/>
      <c r="ESJ1" s="27"/>
      <c r="ESK1" s="27"/>
      <c r="ESL1" s="27"/>
      <c r="ESM1" s="27"/>
      <c r="ESN1" s="27"/>
      <c r="ESO1" s="27"/>
      <c r="ESP1" s="27"/>
      <c r="ESQ1" s="27"/>
      <c r="ESR1" s="27"/>
      <c r="ESS1" s="27"/>
      <c r="EST1" s="27"/>
      <c r="ESU1" s="27"/>
      <c r="ESV1" s="27"/>
      <c r="ESW1" s="27"/>
      <c r="ESX1" s="27"/>
      <c r="ESY1" s="27"/>
      <c r="ESZ1" s="27"/>
      <c r="ETA1" s="27"/>
      <c r="ETB1" s="27"/>
      <c r="ETC1" s="27"/>
      <c r="ETD1" s="27"/>
      <c r="ETE1" s="27"/>
      <c r="ETF1" s="27"/>
      <c r="ETG1" s="27"/>
      <c r="ETH1" s="27"/>
      <c r="ETI1" s="27"/>
      <c r="ETJ1" s="27"/>
      <c r="ETK1" s="27"/>
      <c r="ETL1" s="27"/>
      <c r="ETM1" s="27"/>
      <c r="ETN1" s="27"/>
      <c r="ETO1" s="27"/>
      <c r="ETP1" s="27"/>
      <c r="ETQ1" s="27"/>
      <c r="ETR1" s="27"/>
      <c r="ETS1" s="27"/>
      <c r="ETT1" s="27"/>
      <c r="ETU1" s="27"/>
      <c r="ETV1" s="27"/>
      <c r="ETW1" s="27"/>
      <c r="ETX1" s="27"/>
      <c r="ETY1" s="27"/>
      <c r="ETZ1" s="27"/>
      <c r="EUA1" s="27"/>
      <c r="EUB1" s="27"/>
      <c r="EUC1" s="27"/>
      <c r="EUD1" s="27"/>
      <c r="EUE1" s="27"/>
      <c r="EUF1" s="27"/>
      <c r="EUG1" s="27"/>
      <c r="EUH1" s="27"/>
      <c r="EUI1" s="27"/>
      <c r="EUJ1" s="27"/>
      <c r="EUK1" s="27"/>
      <c r="EUL1" s="27"/>
      <c r="EUM1" s="27"/>
      <c r="EUN1" s="27"/>
      <c r="EUO1" s="27"/>
      <c r="EUP1" s="27"/>
      <c r="EUQ1" s="27"/>
      <c r="EUR1" s="27"/>
      <c r="EUS1" s="27"/>
      <c r="EUT1" s="27"/>
      <c r="EUU1" s="27"/>
      <c r="EUV1" s="27"/>
      <c r="EUW1" s="27"/>
      <c r="EUX1" s="27"/>
      <c r="EUY1" s="27"/>
      <c r="EUZ1" s="27"/>
      <c r="EVA1" s="27"/>
      <c r="EVB1" s="27"/>
      <c r="EVC1" s="27"/>
      <c r="EVD1" s="27"/>
      <c r="EVE1" s="27"/>
      <c r="EVF1" s="27"/>
      <c r="EVG1" s="27"/>
      <c r="EVH1" s="27"/>
      <c r="EVI1" s="27"/>
      <c r="EVJ1" s="27"/>
      <c r="EVK1" s="27"/>
      <c r="EVL1" s="27"/>
      <c r="EVM1" s="27"/>
      <c r="EVN1" s="27"/>
      <c r="EVO1" s="27"/>
      <c r="EVP1" s="27"/>
      <c r="EVQ1" s="27"/>
      <c r="EVR1" s="27"/>
      <c r="EVS1" s="27"/>
      <c r="EVT1" s="27"/>
      <c r="EVU1" s="27"/>
      <c r="EVV1" s="27"/>
      <c r="EVW1" s="27"/>
      <c r="EVX1" s="27"/>
      <c r="EVY1" s="27"/>
      <c r="EVZ1" s="27"/>
      <c r="EWA1" s="27"/>
      <c r="EWB1" s="27"/>
      <c r="EWC1" s="27"/>
      <c r="EWD1" s="27"/>
      <c r="EWE1" s="27"/>
      <c r="EWF1" s="27"/>
      <c r="EWG1" s="27"/>
      <c r="EWH1" s="27"/>
      <c r="EWI1" s="27"/>
      <c r="EWJ1" s="27"/>
      <c r="EWK1" s="27"/>
      <c r="EWL1" s="27"/>
      <c r="EWM1" s="27"/>
      <c r="EWN1" s="27"/>
      <c r="EWO1" s="27"/>
      <c r="EWP1" s="27"/>
      <c r="EWQ1" s="27"/>
      <c r="EWR1" s="27"/>
      <c r="EWS1" s="27"/>
      <c r="EWT1" s="27"/>
      <c r="EWU1" s="27"/>
      <c r="EWV1" s="27"/>
      <c r="EWW1" s="27"/>
      <c r="EWX1" s="27"/>
      <c r="EWY1" s="27"/>
      <c r="EWZ1" s="27"/>
      <c r="EXA1" s="27"/>
      <c r="EXB1" s="27"/>
      <c r="EXC1" s="27"/>
      <c r="EXD1" s="27"/>
      <c r="EXE1" s="27"/>
      <c r="EXF1" s="27"/>
      <c r="EXG1" s="27"/>
      <c r="EXH1" s="27"/>
      <c r="EXI1" s="27"/>
      <c r="EXJ1" s="27"/>
      <c r="EXK1" s="27"/>
      <c r="EXL1" s="27"/>
      <c r="EXM1" s="27"/>
      <c r="EXN1" s="27"/>
      <c r="EXO1" s="27"/>
      <c r="EXP1" s="27"/>
      <c r="EXQ1" s="27"/>
      <c r="EXR1" s="27"/>
      <c r="EXS1" s="27"/>
      <c r="EXT1" s="27"/>
      <c r="EXU1" s="27"/>
      <c r="EXV1" s="27"/>
      <c r="EXW1" s="27"/>
      <c r="EXX1" s="27"/>
      <c r="EXY1" s="27"/>
      <c r="EXZ1" s="27"/>
      <c r="EYA1" s="27"/>
      <c r="EYB1" s="27"/>
      <c r="EYC1" s="27"/>
      <c r="EYD1" s="27"/>
      <c r="EYE1" s="27"/>
      <c r="EYF1" s="27"/>
      <c r="EYG1" s="27"/>
      <c r="EYH1" s="27"/>
      <c r="EYI1" s="27"/>
      <c r="EYJ1" s="27"/>
      <c r="EYK1" s="27"/>
      <c r="EYL1" s="27"/>
      <c r="EYM1" s="27"/>
      <c r="EYN1" s="27"/>
      <c r="EYO1" s="27"/>
      <c r="EYP1" s="27"/>
      <c r="EYQ1" s="27"/>
      <c r="EYR1" s="27"/>
      <c r="EYS1" s="27"/>
      <c r="EYT1" s="27"/>
      <c r="EYU1" s="27"/>
      <c r="EYV1" s="27"/>
      <c r="EYW1" s="27"/>
      <c r="EYX1" s="27"/>
      <c r="EYY1" s="27"/>
      <c r="EYZ1" s="27"/>
      <c r="EZA1" s="27"/>
      <c r="EZB1" s="27"/>
      <c r="EZC1" s="27"/>
      <c r="EZD1" s="27"/>
      <c r="EZE1" s="27"/>
      <c r="EZF1" s="27"/>
      <c r="EZG1" s="27"/>
      <c r="EZH1" s="27"/>
      <c r="EZI1" s="27"/>
      <c r="EZJ1" s="27"/>
      <c r="EZK1" s="27"/>
      <c r="EZL1" s="27"/>
      <c r="EZM1" s="27"/>
      <c r="EZN1" s="27"/>
      <c r="EZO1" s="27"/>
      <c r="EZP1" s="27"/>
      <c r="EZQ1" s="27"/>
      <c r="EZR1" s="27"/>
      <c r="EZS1" s="27"/>
      <c r="EZT1" s="27"/>
      <c r="EZU1" s="27"/>
      <c r="EZV1" s="27"/>
      <c r="EZW1" s="27"/>
      <c r="EZX1" s="27"/>
      <c r="EZY1" s="27"/>
      <c r="EZZ1" s="27"/>
      <c r="FAA1" s="27"/>
      <c r="FAB1" s="27"/>
      <c r="FAC1" s="27"/>
      <c r="FAD1" s="27"/>
      <c r="FAE1" s="27"/>
      <c r="FAF1" s="27"/>
      <c r="FAG1" s="27"/>
      <c r="FAH1" s="27"/>
      <c r="FAI1" s="27"/>
      <c r="FAJ1" s="27"/>
      <c r="FAK1" s="27"/>
      <c r="FAL1" s="27"/>
      <c r="FAM1" s="27"/>
      <c r="FAN1" s="27"/>
      <c r="FAO1" s="27"/>
      <c r="FAP1" s="27"/>
      <c r="FAQ1" s="27"/>
      <c r="FAR1" s="27"/>
      <c r="FAS1" s="27"/>
      <c r="FAT1" s="27"/>
      <c r="FAU1" s="27"/>
      <c r="FAV1" s="27"/>
      <c r="FAW1" s="27"/>
      <c r="FAX1" s="27"/>
      <c r="FAY1" s="27"/>
      <c r="FAZ1" s="27"/>
      <c r="FBA1" s="27"/>
      <c r="FBB1" s="27"/>
      <c r="FBC1" s="27"/>
      <c r="FBD1" s="27"/>
      <c r="FBE1" s="27"/>
      <c r="FBF1" s="27"/>
      <c r="FBG1" s="27"/>
      <c r="FBH1" s="27"/>
      <c r="FBI1" s="27"/>
      <c r="FBJ1" s="27"/>
      <c r="FBK1" s="27"/>
      <c r="FBL1" s="27"/>
      <c r="FBM1" s="27"/>
      <c r="FBN1" s="27"/>
      <c r="FBO1" s="27"/>
      <c r="FBP1" s="27"/>
      <c r="FBQ1" s="27"/>
      <c r="FBR1" s="27"/>
      <c r="FBS1" s="27"/>
      <c r="FBT1" s="27"/>
      <c r="FBU1" s="27"/>
      <c r="FBV1" s="27"/>
      <c r="FBW1" s="27"/>
      <c r="FBX1" s="27"/>
      <c r="FBY1" s="27"/>
      <c r="FBZ1" s="27"/>
      <c r="FCA1" s="27"/>
      <c r="FCB1" s="27"/>
      <c r="FCC1" s="27"/>
      <c r="FCD1" s="27"/>
      <c r="FCE1" s="27"/>
      <c r="FCF1" s="27"/>
      <c r="FCG1" s="27"/>
      <c r="FCH1" s="27"/>
      <c r="FCI1" s="27"/>
      <c r="FCJ1" s="27"/>
      <c r="FCK1" s="27"/>
      <c r="FCL1" s="27"/>
      <c r="FCM1" s="27"/>
      <c r="FCN1" s="27"/>
      <c r="FCO1" s="27"/>
      <c r="FCP1" s="27"/>
      <c r="FCQ1" s="27"/>
      <c r="FCR1" s="27"/>
      <c r="FCS1" s="27"/>
      <c r="FCT1" s="27"/>
      <c r="FCU1" s="27"/>
      <c r="FCV1" s="27"/>
      <c r="FCW1" s="27"/>
      <c r="FCX1" s="27"/>
      <c r="FCY1" s="27"/>
      <c r="FCZ1" s="27"/>
      <c r="FDA1" s="27"/>
      <c r="FDB1" s="27"/>
      <c r="FDC1" s="27"/>
      <c r="FDD1" s="27"/>
      <c r="FDE1" s="27"/>
      <c r="FDF1" s="27"/>
      <c r="FDG1" s="27"/>
      <c r="FDH1" s="27"/>
      <c r="FDI1" s="27"/>
      <c r="FDJ1" s="27"/>
      <c r="FDK1" s="27"/>
      <c r="FDL1" s="27"/>
      <c r="FDM1" s="27"/>
      <c r="FDN1" s="27"/>
      <c r="FDO1" s="27"/>
      <c r="FDP1" s="27"/>
      <c r="FDQ1" s="27"/>
      <c r="FDR1" s="27"/>
      <c r="FDS1" s="27"/>
      <c r="FDT1" s="27"/>
      <c r="FDU1" s="27"/>
      <c r="FDV1" s="27"/>
      <c r="FDW1" s="27"/>
      <c r="FDX1" s="27"/>
      <c r="FDY1" s="27"/>
      <c r="FDZ1" s="27"/>
      <c r="FEA1" s="27"/>
      <c r="FEB1" s="27"/>
      <c r="FEC1" s="27"/>
      <c r="FED1" s="27"/>
      <c r="FEE1" s="27"/>
      <c r="FEF1" s="27"/>
      <c r="FEG1" s="27"/>
      <c r="FEH1" s="27"/>
      <c r="FEI1" s="27"/>
      <c r="FEJ1" s="27"/>
      <c r="FEK1" s="27"/>
      <c r="FEL1" s="27"/>
      <c r="FEM1" s="27"/>
      <c r="FEN1" s="27"/>
      <c r="FEO1" s="27"/>
      <c r="FEP1" s="27"/>
      <c r="FEQ1" s="27"/>
      <c r="FER1" s="27"/>
      <c r="FES1" s="27"/>
      <c r="FET1" s="27"/>
      <c r="FEU1" s="27"/>
      <c r="FEV1" s="27"/>
      <c r="FEW1" s="27"/>
      <c r="FEX1" s="27"/>
      <c r="FEY1" s="27"/>
      <c r="FEZ1" s="27"/>
      <c r="FFA1" s="27"/>
      <c r="FFB1" s="27"/>
      <c r="FFC1" s="27"/>
      <c r="FFD1" s="27"/>
      <c r="FFE1" s="27"/>
      <c r="FFF1" s="27"/>
      <c r="FFG1" s="27"/>
      <c r="FFH1" s="27"/>
      <c r="FFI1" s="27"/>
      <c r="FFJ1" s="27"/>
      <c r="FFK1" s="27"/>
      <c r="FFL1" s="27"/>
      <c r="FFM1" s="27"/>
      <c r="FFN1" s="27"/>
      <c r="FFO1" s="27"/>
      <c r="FFP1" s="27"/>
      <c r="FFQ1" s="27"/>
      <c r="FFR1" s="27"/>
      <c r="FFS1" s="27"/>
      <c r="FFT1" s="27"/>
      <c r="FFU1" s="27"/>
      <c r="FFV1" s="27"/>
      <c r="FFW1" s="27"/>
      <c r="FFX1" s="27"/>
      <c r="FFY1" s="27"/>
      <c r="FFZ1" s="27"/>
      <c r="FGA1" s="27"/>
      <c r="FGB1" s="27"/>
      <c r="FGC1" s="27"/>
      <c r="FGD1" s="27"/>
      <c r="FGE1" s="27"/>
      <c r="FGF1" s="27"/>
      <c r="FGG1" s="27"/>
      <c r="FGH1" s="27"/>
      <c r="FGI1" s="27"/>
      <c r="FGJ1" s="27"/>
      <c r="FGK1" s="27"/>
      <c r="FGL1" s="27"/>
      <c r="FGM1" s="27"/>
      <c r="FGN1" s="27"/>
      <c r="FGO1" s="27"/>
      <c r="FGP1" s="27"/>
      <c r="FGQ1" s="27"/>
      <c r="FGR1" s="27"/>
      <c r="FGS1" s="27"/>
      <c r="FGT1" s="27"/>
      <c r="FGU1" s="27"/>
      <c r="FGV1" s="27"/>
      <c r="FGW1" s="27"/>
      <c r="FGX1" s="27"/>
      <c r="FGY1" s="27"/>
      <c r="FGZ1" s="27"/>
      <c r="FHA1" s="27"/>
      <c r="FHB1" s="27"/>
      <c r="FHC1" s="27"/>
      <c r="FHD1" s="27"/>
      <c r="FHE1" s="27"/>
      <c r="FHF1" s="27"/>
      <c r="FHG1" s="27"/>
      <c r="FHH1" s="27"/>
      <c r="FHI1" s="27"/>
      <c r="FHJ1" s="27"/>
      <c r="FHK1" s="27"/>
      <c r="FHL1" s="27"/>
      <c r="FHM1" s="27"/>
      <c r="FHN1" s="27"/>
      <c r="FHO1" s="27"/>
      <c r="FHP1" s="27"/>
      <c r="FHQ1" s="27"/>
      <c r="FHR1" s="27"/>
      <c r="FHS1" s="27"/>
      <c r="FHT1" s="27"/>
      <c r="FHU1" s="27"/>
      <c r="FHV1" s="27"/>
      <c r="FHW1" s="27"/>
      <c r="FHX1" s="27"/>
      <c r="FHY1" s="27"/>
      <c r="FHZ1" s="27"/>
      <c r="FIA1" s="27"/>
      <c r="FIB1" s="27"/>
      <c r="FIC1" s="27"/>
      <c r="FID1" s="27"/>
      <c r="FIE1" s="27"/>
      <c r="FIF1" s="27"/>
      <c r="FIG1" s="27"/>
      <c r="FIH1" s="27"/>
      <c r="FII1" s="27"/>
      <c r="FIJ1" s="27"/>
      <c r="FIK1" s="27"/>
      <c r="FIL1" s="27"/>
      <c r="FIM1" s="27"/>
      <c r="FIN1" s="27"/>
      <c r="FIO1" s="27"/>
      <c r="FIP1" s="27"/>
      <c r="FIQ1" s="27"/>
      <c r="FIR1" s="27"/>
      <c r="FIS1" s="27"/>
      <c r="FIT1" s="27"/>
      <c r="FIU1" s="27"/>
      <c r="FIV1" s="27"/>
      <c r="FIW1" s="27"/>
      <c r="FIX1" s="27"/>
      <c r="FIY1" s="27"/>
      <c r="FIZ1" s="27"/>
      <c r="FJA1" s="27"/>
      <c r="FJB1" s="27"/>
      <c r="FJC1" s="27"/>
      <c r="FJD1" s="27"/>
      <c r="FJE1" s="27"/>
      <c r="FJF1" s="27"/>
      <c r="FJG1" s="27"/>
      <c r="FJH1" s="27"/>
      <c r="FJI1" s="27"/>
      <c r="FJJ1" s="27"/>
      <c r="FJK1" s="27"/>
      <c r="FJL1" s="27"/>
      <c r="FJM1" s="27"/>
      <c r="FJN1" s="27"/>
      <c r="FJO1" s="27"/>
      <c r="FJP1" s="27"/>
      <c r="FJQ1" s="27"/>
      <c r="FJR1" s="27"/>
      <c r="FJS1" s="27"/>
      <c r="FJT1" s="27"/>
      <c r="FJU1" s="27"/>
      <c r="FJV1" s="27"/>
      <c r="FJW1" s="27"/>
      <c r="FJX1" s="27"/>
      <c r="FJY1" s="27"/>
      <c r="FJZ1" s="27"/>
      <c r="FKA1" s="27"/>
      <c r="FKB1" s="27"/>
      <c r="FKC1" s="27"/>
      <c r="FKD1" s="27"/>
      <c r="FKE1" s="27"/>
      <c r="FKF1" s="27"/>
      <c r="FKG1" s="27"/>
      <c r="FKH1" s="27"/>
      <c r="FKI1" s="27"/>
      <c r="FKJ1" s="27"/>
      <c r="FKK1" s="27"/>
      <c r="FKL1" s="27"/>
      <c r="FKM1" s="27"/>
      <c r="FKN1" s="27"/>
      <c r="FKO1" s="27"/>
      <c r="FKP1" s="27"/>
      <c r="FKQ1" s="27"/>
      <c r="FKR1" s="27"/>
      <c r="FKS1" s="27"/>
      <c r="FKT1" s="27"/>
      <c r="FKU1" s="27"/>
      <c r="FKV1" s="27"/>
      <c r="FKW1" s="27"/>
      <c r="FKX1" s="27"/>
      <c r="FKY1" s="27"/>
      <c r="FKZ1" s="27"/>
      <c r="FLA1" s="27"/>
      <c r="FLB1" s="27"/>
      <c r="FLC1" s="27"/>
      <c r="FLD1" s="27"/>
      <c r="FLE1" s="27"/>
      <c r="FLF1" s="27"/>
      <c r="FLG1" s="27"/>
      <c r="FLH1" s="27"/>
      <c r="FLI1" s="27"/>
      <c r="FLJ1" s="27"/>
      <c r="FLK1" s="27"/>
      <c r="FLL1" s="27"/>
      <c r="FLM1" s="27"/>
      <c r="FLN1" s="27"/>
      <c r="FLO1" s="27"/>
      <c r="FLP1" s="27"/>
      <c r="FLQ1" s="27"/>
      <c r="FLR1" s="27"/>
      <c r="FLS1" s="27"/>
      <c r="FLT1" s="27"/>
      <c r="FLU1" s="27"/>
      <c r="FLV1" s="27"/>
      <c r="FLW1" s="27"/>
      <c r="FLX1" s="27"/>
      <c r="FLY1" s="27"/>
      <c r="FLZ1" s="27"/>
      <c r="FMA1" s="27"/>
      <c r="FMB1" s="27"/>
      <c r="FMC1" s="27"/>
      <c r="FMD1" s="27"/>
      <c r="FME1" s="27"/>
      <c r="FMF1" s="27"/>
      <c r="FMG1" s="27"/>
      <c r="FMH1" s="27"/>
      <c r="FMI1" s="27"/>
      <c r="FMJ1" s="27"/>
      <c r="FMK1" s="27"/>
      <c r="FML1" s="27"/>
      <c r="FMM1" s="27"/>
      <c r="FMN1" s="27"/>
      <c r="FMO1" s="27"/>
      <c r="FMP1" s="27"/>
      <c r="FMQ1" s="27"/>
      <c r="FMR1" s="27"/>
      <c r="FMS1" s="27"/>
      <c r="FMT1" s="27"/>
      <c r="FMU1" s="27"/>
      <c r="FMV1" s="27"/>
      <c r="FMW1" s="27"/>
      <c r="FMX1" s="27"/>
      <c r="FMY1" s="27"/>
      <c r="FMZ1" s="27"/>
      <c r="FNA1" s="27"/>
      <c r="FNB1" s="27"/>
      <c r="FNC1" s="27"/>
      <c r="FND1" s="27"/>
      <c r="FNE1" s="27"/>
      <c r="FNF1" s="27"/>
      <c r="FNG1" s="27"/>
      <c r="FNH1" s="27"/>
      <c r="FNI1" s="27"/>
      <c r="FNJ1" s="27"/>
      <c r="FNK1" s="27"/>
      <c r="FNL1" s="27"/>
      <c r="FNM1" s="27"/>
      <c r="FNN1" s="27"/>
      <c r="FNO1" s="27"/>
      <c r="FNP1" s="27"/>
      <c r="FNQ1" s="27"/>
      <c r="FNR1" s="27"/>
      <c r="FNS1" s="27"/>
      <c r="FNT1" s="27"/>
      <c r="FNU1" s="27"/>
      <c r="FNV1" s="27"/>
      <c r="FNW1" s="27"/>
      <c r="FNX1" s="27"/>
      <c r="FNY1" s="27"/>
      <c r="FNZ1" s="27"/>
      <c r="FOA1" s="27"/>
      <c r="FOB1" s="27"/>
      <c r="FOC1" s="27"/>
      <c r="FOD1" s="27"/>
      <c r="FOE1" s="27"/>
      <c r="FOF1" s="27"/>
      <c r="FOG1" s="27"/>
      <c r="FOH1" s="27"/>
      <c r="FOI1" s="27"/>
      <c r="FOJ1" s="27"/>
      <c r="FOK1" s="27"/>
      <c r="FOL1" s="27"/>
      <c r="FOM1" s="27"/>
      <c r="FON1" s="27"/>
      <c r="FOO1" s="27"/>
      <c r="FOP1" s="27"/>
      <c r="FOQ1" s="27"/>
      <c r="FOR1" s="27"/>
      <c r="FOS1" s="27"/>
      <c r="FOT1" s="27"/>
      <c r="FOU1" s="27"/>
      <c r="FOV1" s="27"/>
      <c r="FOW1" s="27"/>
      <c r="FOX1" s="27"/>
      <c r="FOY1" s="27"/>
      <c r="FOZ1" s="27"/>
      <c r="FPA1" s="27"/>
      <c r="FPB1" s="27"/>
      <c r="FPC1" s="27"/>
      <c r="FPD1" s="27"/>
      <c r="FPE1" s="27"/>
      <c r="FPF1" s="27"/>
      <c r="FPG1" s="27"/>
      <c r="FPH1" s="27"/>
      <c r="FPI1" s="27"/>
      <c r="FPJ1" s="27"/>
      <c r="FPK1" s="27"/>
      <c r="FPL1" s="27"/>
      <c r="FPM1" s="27"/>
      <c r="FPN1" s="27"/>
      <c r="FPO1" s="27"/>
      <c r="FPP1" s="27"/>
      <c r="FPQ1" s="27"/>
      <c r="FPR1" s="27"/>
      <c r="FPS1" s="27"/>
      <c r="FPT1" s="27"/>
      <c r="FPU1" s="27"/>
      <c r="FPV1" s="27"/>
      <c r="FPW1" s="27"/>
      <c r="FPX1" s="27"/>
      <c r="FPY1" s="27"/>
      <c r="FPZ1" s="27"/>
      <c r="FQA1" s="27"/>
      <c r="FQB1" s="27"/>
      <c r="FQC1" s="27"/>
      <c r="FQD1" s="27"/>
      <c r="FQE1" s="27"/>
      <c r="FQF1" s="27"/>
      <c r="FQG1" s="27"/>
      <c r="FQH1" s="27"/>
      <c r="FQI1" s="27"/>
      <c r="FQJ1" s="27"/>
      <c r="FQK1" s="27"/>
      <c r="FQL1" s="27"/>
      <c r="FQM1" s="27"/>
      <c r="FQN1" s="27"/>
      <c r="FQO1" s="27"/>
      <c r="FQP1" s="27"/>
      <c r="FQQ1" s="27"/>
      <c r="FQR1" s="27"/>
      <c r="FQS1" s="27"/>
      <c r="FQT1" s="27"/>
      <c r="FQU1" s="27"/>
      <c r="FQV1" s="27"/>
      <c r="FQW1" s="27"/>
      <c r="FQX1" s="27"/>
      <c r="FQY1" s="27"/>
      <c r="FQZ1" s="27"/>
      <c r="FRA1" s="27"/>
      <c r="FRB1" s="27"/>
      <c r="FRC1" s="27"/>
      <c r="FRD1" s="27"/>
      <c r="FRE1" s="27"/>
      <c r="FRF1" s="27"/>
      <c r="FRG1" s="27"/>
      <c r="FRH1" s="27"/>
      <c r="FRI1" s="27"/>
      <c r="FRJ1" s="27"/>
      <c r="FRK1" s="27"/>
      <c r="FRL1" s="27"/>
      <c r="FRM1" s="27"/>
      <c r="FRN1" s="27"/>
      <c r="FRO1" s="27"/>
      <c r="FRP1" s="27"/>
      <c r="FRQ1" s="27"/>
      <c r="FRR1" s="27"/>
      <c r="FRS1" s="27"/>
      <c r="FRT1" s="27"/>
      <c r="FRU1" s="27"/>
      <c r="FRV1" s="27"/>
      <c r="FRW1" s="27"/>
      <c r="FRX1" s="27"/>
      <c r="FRY1" s="27"/>
      <c r="FRZ1" s="27"/>
      <c r="FSA1" s="27"/>
      <c r="FSB1" s="27"/>
      <c r="FSC1" s="27"/>
      <c r="FSD1" s="27"/>
      <c r="FSE1" s="27"/>
      <c r="FSF1" s="27"/>
      <c r="FSG1" s="27"/>
      <c r="FSH1" s="27"/>
      <c r="FSI1" s="27"/>
      <c r="FSJ1" s="27"/>
      <c r="FSK1" s="27"/>
      <c r="FSL1" s="27"/>
      <c r="FSM1" s="27"/>
      <c r="FSN1" s="27"/>
      <c r="FSO1" s="27"/>
      <c r="FSP1" s="27"/>
      <c r="FSQ1" s="27"/>
      <c r="FSR1" s="27"/>
      <c r="FSS1" s="27"/>
      <c r="FST1" s="27"/>
      <c r="FSU1" s="27"/>
      <c r="FSV1" s="27"/>
      <c r="FSW1" s="27"/>
      <c r="FSX1" s="27"/>
      <c r="FSY1" s="27"/>
      <c r="FSZ1" s="27"/>
      <c r="FTA1" s="27"/>
      <c r="FTB1" s="27"/>
      <c r="FTC1" s="27"/>
      <c r="FTD1" s="27"/>
      <c r="FTE1" s="27"/>
      <c r="FTF1" s="27"/>
      <c r="FTG1" s="27"/>
      <c r="FTH1" s="27"/>
      <c r="FTI1" s="27"/>
      <c r="FTJ1" s="27"/>
      <c r="FTK1" s="27"/>
      <c r="FTL1" s="27"/>
      <c r="FTM1" s="27"/>
      <c r="FTN1" s="27"/>
      <c r="FTO1" s="27"/>
      <c r="FTP1" s="27"/>
      <c r="FTQ1" s="27"/>
      <c r="FTR1" s="27"/>
      <c r="FTS1" s="27"/>
      <c r="FTT1" s="27"/>
      <c r="FTU1" s="27"/>
      <c r="FTV1" s="27"/>
      <c r="FTW1" s="27"/>
      <c r="FTX1" s="27"/>
      <c r="FTY1" s="27"/>
      <c r="FTZ1" s="27"/>
      <c r="FUA1" s="27"/>
      <c r="FUB1" s="27"/>
      <c r="FUC1" s="27"/>
      <c r="FUD1" s="27"/>
      <c r="FUE1" s="27"/>
      <c r="FUF1" s="27"/>
      <c r="FUG1" s="27"/>
      <c r="FUH1" s="27"/>
      <c r="FUI1" s="27"/>
      <c r="FUJ1" s="27"/>
      <c r="FUK1" s="27"/>
      <c r="FUL1" s="27"/>
      <c r="FUM1" s="27"/>
      <c r="FUN1" s="27"/>
      <c r="FUO1" s="27"/>
      <c r="FUP1" s="27"/>
      <c r="FUQ1" s="27"/>
      <c r="FUR1" s="27"/>
      <c r="FUS1" s="27"/>
      <c r="FUT1" s="27"/>
      <c r="FUU1" s="27"/>
      <c r="FUV1" s="27"/>
      <c r="FUW1" s="27"/>
      <c r="FUX1" s="27"/>
      <c r="FUY1" s="27"/>
      <c r="FUZ1" s="27"/>
      <c r="FVA1" s="27"/>
      <c r="FVB1" s="27"/>
      <c r="FVC1" s="27"/>
      <c r="FVD1" s="27"/>
      <c r="FVE1" s="27"/>
      <c r="FVF1" s="27"/>
      <c r="FVG1" s="27"/>
      <c r="FVH1" s="27"/>
      <c r="FVI1" s="27"/>
      <c r="FVJ1" s="27"/>
      <c r="FVK1" s="27"/>
      <c r="FVL1" s="27"/>
      <c r="FVM1" s="27"/>
      <c r="FVN1" s="27"/>
      <c r="FVO1" s="27"/>
      <c r="FVP1" s="27"/>
      <c r="FVQ1" s="27"/>
      <c r="FVR1" s="27"/>
      <c r="FVS1" s="27"/>
      <c r="FVT1" s="27"/>
      <c r="FVU1" s="27"/>
      <c r="FVV1" s="27"/>
      <c r="FVW1" s="27"/>
      <c r="FVX1" s="27"/>
      <c r="FVY1" s="27"/>
      <c r="FVZ1" s="27"/>
      <c r="FWA1" s="27"/>
      <c r="FWB1" s="27"/>
      <c r="FWC1" s="27"/>
      <c r="FWD1" s="27"/>
      <c r="FWE1" s="27"/>
      <c r="FWF1" s="27"/>
      <c r="FWG1" s="27"/>
      <c r="FWH1" s="27"/>
      <c r="FWI1" s="27"/>
      <c r="FWJ1" s="27"/>
      <c r="FWK1" s="27"/>
      <c r="FWL1" s="27"/>
      <c r="FWM1" s="27"/>
      <c r="FWN1" s="27"/>
      <c r="FWO1" s="27"/>
      <c r="FWP1" s="27"/>
      <c r="FWQ1" s="27"/>
      <c r="FWR1" s="27"/>
      <c r="FWS1" s="27"/>
      <c r="FWT1" s="27"/>
      <c r="FWU1" s="27"/>
      <c r="FWV1" s="27"/>
      <c r="FWW1" s="27"/>
      <c r="FWX1" s="27"/>
      <c r="FWY1" s="27"/>
      <c r="FWZ1" s="27"/>
      <c r="FXA1" s="27"/>
      <c r="FXB1" s="27"/>
      <c r="FXC1" s="27"/>
      <c r="FXD1" s="27"/>
      <c r="FXE1" s="27"/>
      <c r="FXF1" s="27"/>
      <c r="FXG1" s="27"/>
      <c r="FXH1" s="27"/>
      <c r="FXI1" s="27"/>
      <c r="FXJ1" s="27"/>
      <c r="FXK1" s="27"/>
      <c r="FXL1" s="27"/>
      <c r="FXM1" s="27"/>
      <c r="FXN1" s="27"/>
      <c r="FXO1" s="27"/>
      <c r="FXP1" s="27"/>
      <c r="FXQ1" s="27"/>
      <c r="FXR1" s="27"/>
      <c r="FXS1" s="27"/>
      <c r="FXT1" s="27"/>
      <c r="FXU1" s="27"/>
      <c r="FXV1" s="27"/>
      <c r="FXW1" s="27"/>
      <c r="FXX1" s="27"/>
      <c r="FXY1" s="27"/>
      <c r="FXZ1" s="27"/>
      <c r="FYA1" s="27"/>
      <c r="FYB1" s="27"/>
      <c r="FYC1" s="27"/>
      <c r="FYD1" s="27"/>
      <c r="FYE1" s="27"/>
      <c r="FYF1" s="27"/>
      <c r="FYG1" s="27"/>
      <c r="FYH1" s="27"/>
      <c r="FYI1" s="27"/>
      <c r="FYJ1" s="27"/>
      <c r="FYK1" s="27"/>
      <c r="FYL1" s="27"/>
      <c r="FYM1" s="27"/>
      <c r="FYN1" s="27"/>
      <c r="FYO1" s="27"/>
      <c r="FYP1" s="27"/>
      <c r="FYQ1" s="27"/>
      <c r="FYR1" s="27"/>
      <c r="FYS1" s="27"/>
      <c r="FYT1" s="27"/>
      <c r="FYU1" s="27"/>
      <c r="FYV1" s="27"/>
      <c r="FYW1" s="27"/>
      <c r="FYX1" s="27"/>
      <c r="FYY1" s="27"/>
      <c r="FYZ1" s="27"/>
      <c r="FZA1" s="27"/>
      <c r="FZB1" s="27"/>
      <c r="FZC1" s="27"/>
      <c r="FZD1" s="27"/>
      <c r="FZE1" s="27"/>
      <c r="FZF1" s="27"/>
      <c r="FZG1" s="27"/>
      <c r="FZH1" s="27"/>
      <c r="FZI1" s="27"/>
      <c r="FZJ1" s="27"/>
      <c r="FZK1" s="27"/>
      <c r="FZL1" s="27"/>
      <c r="FZM1" s="27"/>
      <c r="FZN1" s="27"/>
      <c r="FZO1" s="27"/>
      <c r="FZP1" s="27"/>
      <c r="FZQ1" s="27"/>
      <c r="FZR1" s="27"/>
      <c r="FZS1" s="27"/>
      <c r="FZT1" s="27"/>
      <c r="FZU1" s="27"/>
      <c r="FZV1" s="27"/>
      <c r="FZW1" s="27"/>
      <c r="FZX1" s="27"/>
      <c r="FZY1" s="27"/>
      <c r="FZZ1" s="27"/>
      <c r="GAA1" s="27"/>
      <c r="GAB1" s="27"/>
      <c r="GAC1" s="27"/>
      <c r="GAD1" s="27"/>
      <c r="GAE1" s="27"/>
      <c r="GAF1" s="27"/>
      <c r="GAG1" s="27"/>
      <c r="GAH1" s="27"/>
      <c r="GAI1" s="27"/>
      <c r="GAJ1" s="27"/>
      <c r="GAK1" s="27"/>
      <c r="GAL1" s="27"/>
      <c r="GAM1" s="27"/>
      <c r="GAN1" s="27"/>
      <c r="GAO1" s="27"/>
      <c r="GAP1" s="27"/>
      <c r="GAQ1" s="27"/>
      <c r="GAR1" s="27"/>
      <c r="GAS1" s="27"/>
      <c r="GAT1" s="27"/>
      <c r="GAU1" s="27"/>
      <c r="GAV1" s="27"/>
      <c r="GAW1" s="27"/>
      <c r="GAX1" s="27"/>
      <c r="GAY1" s="27"/>
      <c r="GAZ1" s="27"/>
      <c r="GBA1" s="27"/>
      <c r="GBB1" s="27"/>
      <c r="GBC1" s="27"/>
      <c r="GBD1" s="27"/>
      <c r="GBE1" s="27"/>
      <c r="GBF1" s="27"/>
      <c r="GBG1" s="27"/>
      <c r="GBH1" s="27"/>
      <c r="GBI1" s="27"/>
      <c r="GBJ1" s="27"/>
      <c r="GBK1" s="27"/>
      <c r="GBL1" s="27"/>
      <c r="GBM1" s="27"/>
      <c r="GBN1" s="27"/>
      <c r="GBO1" s="27"/>
      <c r="GBP1" s="27"/>
      <c r="GBQ1" s="27"/>
      <c r="GBR1" s="27"/>
      <c r="GBS1" s="27"/>
      <c r="GBT1" s="27"/>
      <c r="GBU1" s="27"/>
      <c r="GBV1" s="27"/>
      <c r="GBW1" s="27"/>
      <c r="GBX1" s="27"/>
      <c r="GBY1" s="27"/>
      <c r="GBZ1" s="27"/>
      <c r="GCA1" s="27"/>
      <c r="GCB1" s="27"/>
      <c r="GCC1" s="27"/>
      <c r="GCD1" s="27"/>
      <c r="GCE1" s="27"/>
      <c r="GCF1" s="27"/>
      <c r="GCG1" s="27"/>
      <c r="GCH1" s="27"/>
      <c r="GCI1" s="27"/>
      <c r="GCJ1" s="27"/>
      <c r="GCK1" s="27"/>
      <c r="GCL1" s="27"/>
      <c r="GCM1" s="27"/>
      <c r="GCN1" s="27"/>
      <c r="GCO1" s="27"/>
      <c r="GCP1" s="27"/>
      <c r="GCQ1" s="27"/>
      <c r="GCR1" s="27"/>
      <c r="GCS1" s="27"/>
      <c r="GCT1" s="27"/>
      <c r="GCU1" s="27"/>
      <c r="GCV1" s="27"/>
      <c r="GCW1" s="27"/>
      <c r="GCX1" s="27"/>
      <c r="GCY1" s="27"/>
      <c r="GCZ1" s="27"/>
      <c r="GDA1" s="27"/>
      <c r="GDB1" s="27"/>
      <c r="GDC1" s="27"/>
      <c r="GDD1" s="27"/>
      <c r="GDE1" s="27"/>
      <c r="GDF1" s="27"/>
      <c r="GDG1" s="27"/>
      <c r="GDH1" s="27"/>
      <c r="GDI1" s="27"/>
      <c r="GDJ1" s="27"/>
      <c r="GDK1" s="27"/>
      <c r="GDL1" s="27"/>
      <c r="GDM1" s="27"/>
      <c r="GDN1" s="27"/>
      <c r="GDO1" s="27"/>
      <c r="GDP1" s="27"/>
      <c r="GDQ1" s="27"/>
      <c r="GDR1" s="27"/>
      <c r="GDS1" s="27"/>
      <c r="GDT1" s="27"/>
      <c r="GDU1" s="27"/>
      <c r="GDV1" s="27"/>
      <c r="GDW1" s="27"/>
      <c r="GDX1" s="27"/>
      <c r="GDY1" s="27"/>
      <c r="GDZ1" s="27"/>
      <c r="GEA1" s="27"/>
      <c r="GEB1" s="27"/>
      <c r="GEC1" s="27"/>
      <c r="GED1" s="27"/>
      <c r="GEE1" s="27"/>
      <c r="GEF1" s="27"/>
      <c r="GEG1" s="27"/>
      <c r="GEH1" s="27"/>
      <c r="GEI1" s="27"/>
      <c r="GEJ1" s="27"/>
      <c r="GEK1" s="27"/>
      <c r="GEL1" s="27"/>
      <c r="GEM1" s="27"/>
      <c r="GEN1" s="27"/>
      <c r="GEO1" s="27"/>
      <c r="GEP1" s="27"/>
      <c r="GEQ1" s="27"/>
      <c r="GER1" s="27"/>
      <c r="GES1" s="27"/>
      <c r="GET1" s="27"/>
      <c r="GEU1" s="27"/>
      <c r="GEV1" s="27"/>
      <c r="GEW1" s="27"/>
      <c r="GEX1" s="27"/>
      <c r="GEY1" s="27"/>
      <c r="GEZ1" s="27"/>
      <c r="GFA1" s="27"/>
      <c r="GFB1" s="27"/>
      <c r="GFC1" s="27"/>
      <c r="GFD1" s="27"/>
      <c r="GFE1" s="27"/>
      <c r="GFF1" s="27"/>
      <c r="GFG1" s="27"/>
      <c r="GFH1" s="27"/>
      <c r="GFI1" s="27"/>
      <c r="GFJ1" s="27"/>
      <c r="GFK1" s="27"/>
      <c r="GFL1" s="27"/>
      <c r="GFM1" s="27"/>
      <c r="GFN1" s="27"/>
      <c r="GFO1" s="27"/>
      <c r="GFP1" s="27"/>
      <c r="GFQ1" s="27"/>
      <c r="GFR1" s="27"/>
      <c r="GFS1" s="27"/>
      <c r="GFT1" s="27"/>
      <c r="GFU1" s="27"/>
      <c r="GFV1" s="27"/>
      <c r="GFW1" s="27"/>
      <c r="GFX1" s="27"/>
      <c r="GFY1" s="27"/>
      <c r="GFZ1" s="27"/>
      <c r="GGA1" s="27"/>
      <c r="GGB1" s="27"/>
      <c r="GGC1" s="27"/>
      <c r="GGD1" s="27"/>
      <c r="GGE1" s="27"/>
      <c r="GGF1" s="27"/>
      <c r="GGG1" s="27"/>
      <c r="GGH1" s="27"/>
      <c r="GGI1" s="27"/>
      <c r="GGJ1" s="27"/>
      <c r="GGK1" s="27"/>
      <c r="GGL1" s="27"/>
      <c r="GGM1" s="27"/>
      <c r="GGN1" s="27"/>
      <c r="GGO1" s="27"/>
      <c r="GGP1" s="27"/>
      <c r="GGQ1" s="27"/>
      <c r="GGR1" s="27"/>
      <c r="GGS1" s="27"/>
      <c r="GGT1" s="27"/>
      <c r="GGU1" s="27"/>
      <c r="GGV1" s="27"/>
      <c r="GGW1" s="27"/>
      <c r="GGX1" s="27"/>
      <c r="GGY1" s="27"/>
      <c r="GGZ1" s="27"/>
      <c r="GHA1" s="27"/>
      <c r="GHB1" s="27"/>
      <c r="GHC1" s="27"/>
      <c r="GHD1" s="27"/>
      <c r="GHE1" s="27"/>
      <c r="GHF1" s="27"/>
      <c r="GHG1" s="27"/>
      <c r="GHH1" s="27"/>
      <c r="GHI1" s="27"/>
      <c r="GHJ1" s="27"/>
      <c r="GHK1" s="27"/>
      <c r="GHL1" s="27"/>
      <c r="GHM1" s="27"/>
      <c r="GHN1" s="27"/>
      <c r="GHO1" s="27"/>
      <c r="GHP1" s="27"/>
      <c r="GHQ1" s="27"/>
      <c r="GHR1" s="27"/>
      <c r="GHS1" s="27"/>
      <c r="GHT1" s="27"/>
      <c r="GHU1" s="27"/>
      <c r="GHV1" s="27"/>
      <c r="GHW1" s="27"/>
      <c r="GHX1" s="27"/>
      <c r="GHY1" s="27"/>
      <c r="GHZ1" s="27"/>
      <c r="GIA1" s="27"/>
      <c r="GIB1" s="27"/>
      <c r="GIC1" s="27"/>
      <c r="GID1" s="27"/>
      <c r="GIE1" s="27"/>
      <c r="GIF1" s="27"/>
      <c r="GIG1" s="27"/>
      <c r="GIH1" s="27"/>
      <c r="GII1" s="27"/>
      <c r="GIJ1" s="27"/>
      <c r="GIK1" s="27"/>
      <c r="GIL1" s="27"/>
      <c r="GIM1" s="27"/>
      <c r="GIN1" s="27"/>
      <c r="GIO1" s="27"/>
      <c r="GIP1" s="27"/>
      <c r="GIQ1" s="27"/>
      <c r="GIR1" s="27"/>
      <c r="GIS1" s="27"/>
      <c r="GIT1" s="27"/>
      <c r="GIU1" s="27"/>
      <c r="GIV1" s="27"/>
      <c r="GIW1" s="27"/>
      <c r="GIX1" s="27"/>
      <c r="GIY1" s="27"/>
      <c r="GIZ1" s="27"/>
      <c r="GJA1" s="27"/>
      <c r="GJB1" s="27"/>
      <c r="GJC1" s="27"/>
      <c r="GJD1" s="27"/>
      <c r="GJE1" s="27"/>
      <c r="GJF1" s="27"/>
      <c r="GJG1" s="27"/>
      <c r="GJH1" s="27"/>
      <c r="GJI1" s="27"/>
      <c r="GJJ1" s="27"/>
      <c r="GJK1" s="27"/>
      <c r="GJL1" s="27"/>
      <c r="GJM1" s="27"/>
      <c r="GJN1" s="27"/>
      <c r="GJO1" s="27"/>
      <c r="GJP1" s="27"/>
      <c r="GJQ1" s="27"/>
      <c r="GJR1" s="27"/>
      <c r="GJS1" s="27"/>
      <c r="GJT1" s="27"/>
      <c r="GJU1" s="27"/>
      <c r="GJV1" s="27"/>
      <c r="GJW1" s="27"/>
      <c r="GJX1" s="27"/>
      <c r="GJY1" s="27"/>
      <c r="GJZ1" s="27"/>
      <c r="GKA1" s="27"/>
      <c r="GKB1" s="27"/>
      <c r="GKC1" s="27"/>
      <c r="GKD1" s="27"/>
      <c r="GKE1" s="27"/>
      <c r="GKF1" s="27"/>
      <c r="GKG1" s="27"/>
      <c r="GKH1" s="27"/>
      <c r="GKI1" s="27"/>
      <c r="GKJ1" s="27"/>
      <c r="GKK1" s="27"/>
      <c r="GKL1" s="27"/>
      <c r="GKM1" s="27"/>
      <c r="GKN1" s="27"/>
      <c r="GKO1" s="27"/>
      <c r="GKP1" s="27"/>
      <c r="GKQ1" s="27"/>
      <c r="GKR1" s="27"/>
      <c r="GKS1" s="27"/>
      <c r="GKT1" s="27"/>
      <c r="GKU1" s="27"/>
      <c r="GKV1" s="27"/>
      <c r="GKW1" s="27"/>
      <c r="GKX1" s="27"/>
      <c r="GKY1" s="27"/>
      <c r="GKZ1" s="27"/>
      <c r="GLA1" s="27"/>
      <c r="GLB1" s="27"/>
      <c r="GLC1" s="27"/>
      <c r="GLD1" s="27"/>
      <c r="GLE1" s="27"/>
      <c r="GLF1" s="27"/>
      <c r="GLG1" s="27"/>
      <c r="GLH1" s="27"/>
      <c r="GLI1" s="27"/>
      <c r="GLJ1" s="27"/>
      <c r="GLK1" s="27"/>
      <c r="GLL1" s="27"/>
      <c r="GLM1" s="27"/>
      <c r="GLN1" s="27"/>
      <c r="GLO1" s="27"/>
      <c r="GLP1" s="27"/>
      <c r="GLQ1" s="27"/>
      <c r="GLR1" s="27"/>
      <c r="GLS1" s="27"/>
      <c r="GLT1" s="27"/>
      <c r="GLU1" s="27"/>
      <c r="GLV1" s="27"/>
      <c r="GLW1" s="27"/>
      <c r="GLX1" s="27"/>
      <c r="GLY1" s="27"/>
      <c r="GLZ1" s="27"/>
      <c r="GMA1" s="27"/>
      <c r="GMB1" s="27"/>
      <c r="GMC1" s="27"/>
      <c r="GMD1" s="27"/>
      <c r="GME1" s="27"/>
      <c r="GMF1" s="27"/>
      <c r="GMG1" s="27"/>
      <c r="GMH1" s="27"/>
      <c r="GMI1" s="27"/>
      <c r="GMJ1" s="27"/>
      <c r="GMK1" s="27"/>
      <c r="GML1" s="27"/>
      <c r="GMM1" s="27"/>
      <c r="GMN1" s="27"/>
      <c r="GMO1" s="27"/>
      <c r="GMP1" s="27"/>
      <c r="GMQ1" s="27"/>
      <c r="GMR1" s="27"/>
      <c r="GMS1" s="27"/>
      <c r="GMT1" s="27"/>
      <c r="GMU1" s="27"/>
      <c r="GMV1" s="27"/>
      <c r="GMW1" s="27"/>
      <c r="GMX1" s="27"/>
      <c r="GMY1" s="27"/>
      <c r="GMZ1" s="27"/>
      <c r="GNA1" s="27"/>
      <c r="GNB1" s="27"/>
      <c r="GNC1" s="27"/>
      <c r="GND1" s="27"/>
      <c r="GNE1" s="27"/>
      <c r="GNF1" s="27"/>
      <c r="GNG1" s="27"/>
      <c r="GNH1" s="27"/>
      <c r="GNI1" s="27"/>
      <c r="GNJ1" s="27"/>
      <c r="GNK1" s="27"/>
      <c r="GNL1" s="27"/>
      <c r="GNM1" s="27"/>
      <c r="GNN1" s="27"/>
      <c r="GNO1" s="27"/>
      <c r="GNP1" s="27"/>
      <c r="GNQ1" s="27"/>
      <c r="GNR1" s="27"/>
      <c r="GNS1" s="27"/>
      <c r="GNT1" s="27"/>
      <c r="GNU1" s="27"/>
      <c r="GNV1" s="27"/>
      <c r="GNW1" s="27"/>
      <c r="GNX1" s="27"/>
      <c r="GNY1" s="27"/>
      <c r="GNZ1" s="27"/>
      <c r="GOA1" s="27"/>
      <c r="GOB1" s="27"/>
      <c r="GOC1" s="27"/>
      <c r="GOD1" s="27"/>
      <c r="GOE1" s="27"/>
      <c r="GOF1" s="27"/>
      <c r="GOG1" s="27"/>
      <c r="GOH1" s="27"/>
      <c r="GOI1" s="27"/>
      <c r="GOJ1" s="27"/>
      <c r="GOK1" s="27"/>
      <c r="GOL1" s="27"/>
      <c r="GOM1" s="27"/>
      <c r="GON1" s="27"/>
      <c r="GOO1" s="27"/>
      <c r="GOP1" s="27"/>
      <c r="GOQ1" s="27"/>
      <c r="GOR1" s="27"/>
      <c r="GOS1" s="27"/>
      <c r="GOT1" s="27"/>
      <c r="GOU1" s="27"/>
      <c r="GOV1" s="27"/>
      <c r="GOW1" s="27"/>
      <c r="GOX1" s="27"/>
      <c r="GOY1" s="27"/>
      <c r="GOZ1" s="27"/>
      <c r="GPA1" s="27"/>
      <c r="GPB1" s="27"/>
      <c r="GPC1" s="27"/>
      <c r="GPD1" s="27"/>
      <c r="GPE1" s="27"/>
      <c r="GPF1" s="27"/>
      <c r="GPG1" s="27"/>
      <c r="GPH1" s="27"/>
      <c r="GPI1" s="27"/>
      <c r="GPJ1" s="27"/>
      <c r="GPK1" s="27"/>
      <c r="GPL1" s="27"/>
      <c r="GPM1" s="27"/>
      <c r="GPN1" s="27"/>
      <c r="GPO1" s="27"/>
      <c r="GPP1" s="27"/>
      <c r="GPQ1" s="27"/>
      <c r="GPR1" s="27"/>
      <c r="GPS1" s="27"/>
      <c r="GPT1" s="27"/>
      <c r="GPU1" s="27"/>
      <c r="GPV1" s="27"/>
      <c r="GPW1" s="27"/>
      <c r="GPX1" s="27"/>
      <c r="GPY1" s="27"/>
      <c r="GPZ1" s="27"/>
      <c r="GQA1" s="27"/>
      <c r="GQB1" s="27"/>
      <c r="GQC1" s="27"/>
      <c r="GQD1" s="27"/>
      <c r="GQE1" s="27"/>
      <c r="GQF1" s="27"/>
      <c r="GQG1" s="27"/>
      <c r="GQH1" s="27"/>
      <c r="GQI1" s="27"/>
      <c r="GQJ1" s="27"/>
      <c r="GQK1" s="27"/>
      <c r="GQL1" s="27"/>
      <c r="GQM1" s="27"/>
      <c r="GQN1" s="27"/>
      <c r="GQO1" s="27"/>
      <c r="GQP1" s="27"/>
      <c r="GQQ1" s="27"/>
      <c r="GQR1" s="27"/>
      <c r="GQS1" s="27"/>
      <c r="GQT1" s="27"/>
      <c r="GQU1" s="27"/>
      <c r="GQV1" s="27"/>
      <c r="GQW1" s="27"/>
      <c r="GQX1" s="27"/>
      <c r="GQY1" s="27"/>
      <c r="GQZ1" s="27"/>
      <c r="GRA1" s="27"/>
      <c r="GRB1" s="27"/>
      <c r="GRC1" s="27"/>
      <c r="GRD1" s="27"/>
      <c r="GRE1" s="27"/>
      <c r="GRF1" s="27"/>
      <c r="GRG1" s="27"/>
      <c r="GRH1" s="27"/>
      <c r="GRI1" s="27"/>
      <c r="GRJ1" s="27"/>
      <c r="GRK1" s="27"/>
      <c r="GRL1" s="27"/>
      <c r="GRM1" s="27"/>
      <c r="GRN1" s="27"/>
      <c r="GRO1" s="27"/>
      <c r="GRP1" s="27"/>
      <c r="GRQ1" s="27"/>
      <c r="GRR1" s="27"/>
      <c r="GRS1" s="27"/>
      <c r="GRT1" s="27"/>
      <c r="GRU1" s="27"/>
      <c r="GRV1" s="27"/>
      <c r="GRW1" s="27"/>
      <c r="GRX1" s="27"/>
      <c r="GRY1" s="27"/>
      <c r="GRZ1" s="27"/>
      <c r="GSA1" s="27"/>
      <c r="GSB1" s="27"/>
      <c r="GSC1" s="27"/>
      <c r="GSD1" s="27"/>
      <c r="GSE1" s="27"/>
      <c r="GSF1" s="27"/>
      <c r="GSG1" s="27"/>
      <c r="GSH1" s="27"/>
      <c r="GSI1" s="27"/>
      <c r="GSJ1" s="27"/>
      <c r="GSK1" s="27"/>
      <c r="GSL1" s="27"/>
      <c r="GSM1" s="27"/>
      <c r="GSN1" s="27"/>
      <c r="GSO1" s="27"/>
      <c r="GSP1" s="27"/>
      <c r="GSQ1" s="27"/>
      <c r="GSR1" s="27"/>
      <c r="GSS1" s="27"/>
      <c r="GST1" s="27"/>
      <c r="GSU1" s="27"/>
      <c r="GSV1" s="27"/>
      <c r="GSW1" s="27"/>
      <c r="GSX1" s="27"/>
      <c r="GSY1" s="27"/>
      <c r="GSZ1" s="27"/>
      <c r="GTA1" s="27"/>
      <c r="GTB1" s="27"/>
      <c r="GTC1" s="27"/>
      <c r="GTD1" s="27"/>
      <c r="GTE1" s="27"/>
      <c r="GTF1" s="27"/>
      <c r="GTG1" s="27"/>
      <c r="GTH1" s="27"/>
      <c r="GTI1" s="27"/>
      <c r="GTJ1" s="27"/>
      <c r="GTK1" s="27"/>
      <c r="GTL1" s="27"/>
      <c r="GTM1" s="27"/>
      <c r="GTN1" s="27"/>
      <c r="GTO1" s="27"/>
      <c r="GTP1" s="27"/>
      <c r="GTQ1" s="27"/>
      <c r="GTR1" s="27"/>
      <c r="GTS1" s="27"/>
      <c r="GTT1" s="27"/>
      <c r="GTU1" s="27"/>
      <c r="GTV1" s="27"/>
      <c r="GTW1" s="27"/>
      <c r="GTX1" s="27"/>
      <c r="GTY1" s="27"/>
      <c r="GTZ1" s="27"/>
      <c r="GUA1" s="27"/>
      <c r="GUB1" s="27"/>
      <c r="GUC1" s="27"/>
      <c r="GUD1" s="27"/>
      <c r="GUE1" s="27"/>
      <c r="GUF1" s="27"/>
      <c r="GUG1" s="27"/>
      <c r="GUH1" s="27"/>
      <c r="GUI1" s="27"/>
      <c r="GUJ1" s="27"/>
      <c r="GUK1" s="27"/>
      <c r="GUL1" s="27"/>
      <c r="GUM1" s="27"/>
      <c r="GUN1" s="27"/>
      <c r="GUO1" s="27"/>
      <c r="GUP1" s="27"/>
      <c r="GUQ1" s="27"/>
      <c r="GUR1" s="27"/>
      <c r="GUS1" s="27"/>
      <c r="GUT1" s="27"/>
      <c r="GUU1" s="27"/>
      <c r="GUV1" s="27"/>
      <c r="GUW1" s="27"/>
      <c r="GUX1" s="27"/>
      <c r="GUY1" s="27"/>
      <c r="GUZ1" s="27"/>
      <c r="GVA1" s="27"/>
      <c r="GVB1" s="27"/>
      <c r="GVC1" s="27"/>
      <c r="GVD1" s="27"/>
      <c r="GVE1" s="27"/>
      <c r="GVF1" s="27"/>
      <c r="GVG1" s="27"/>
      <c r="GVH1" s="27"/>
      <c r="GVI1" s="27"/>
      <c r="GVJ1" s="27"/>
      <c r="GVK1" s="27"/>
      <c r="GVL1" s="27"/>
      <c r="GVM1" s="27"/>
      <c r="GVN1" s="27"/>
      <c r="GVO1" s="27"/>
      <c r="GVP1" s="27"/>
      <c r="GVQ1" s="27"/>
      <c r="GVR1" s="27"/>
      <c r="GVS1" s="27"/>
      <c r="GVT1" s="27"/>
      <c r="GVU1" s="27"/>
      <c r="GVV1" s="27"/>
      <c r="GVW1" s="27"/>
      <c r="GVX1" s="27"/>
      <c r="GVY1" s="27"/>
      <c r="GVZ1" s="27"/>
      <c r="GWA1" s="27"/>
      <c r="GWB1" s="27"/>
      <c r="GWC1" s="27"/>
      <c r="GWD1" s="27"/>
      <c r="GWE1" s="27"/>
      <c r="GWF1" s="27"/>
      <c r="GWG1" s="27"/>
      <c r="GWH1" s="27"/>
      <c r="GWI1" s="27"/>
      <c r="GWJ1" s="27"/>
      <c r="GWK1" s="27"/>
      <c r="GWL1" s="27"/>
      <c r="GWM1" s="27"/>
      <c r="GWN1" s="27"/>
      <c r="GWO1" s="27"/>
      <c r="GWP1" s="27"/>
      <c r="GWQ1" s="27"/>
      <c r="GWR1" s="27"/>
      <c r="GWS1" s="27"/>
      <c r="GWT1" s="27"/>
      <c r="GWU1" s="27"/>
      <c r="GWV1" s="27"/>
      <c r="GWW1" s="27"/>
      <c r="GWX1" s="27"/>
      <c r="GWY1" s="27"/>
      <c r="GWZ1" s="27"/>
      <c r="GXA1" s="27"/>
      <c r="GXB1" s="27"/>
      <c r="GXC1" s="27"/>
      <c r="GXD1" s="27"/>
      <c r="GXE1" s="27"/>
      <c r="GXF1" s="27"/>
      <c r="GXG1" s="27"/>
      <c r="GXH1" s="27"/>
      <c r="GXI1" s="27"/>
      <c r="GXJ1" s="27"/>
      <c r="GXK1" s="27"/>
      <c r="GXL1" s="27"/>
      <c r="GXM1" s="27"/>
      <c r="GXN1" s="27"/>
      <c r="GXO1" s="27"/>
      <c r="GXP1" s="27"/>
      <c r="GXQ1" s="27"/>
      <c r="GXR1" s="27"/>
      <c r="GXS1" s="27"/>
      <c r="GXT1" s="27"/>
      <c r="GXU1" s="27"/>
      <c r="GXV1" s="27"/>
      <c r="GXW1" s="27"/>
      <c r="GXX1" s="27"/>
      <c r="GXY1" s="27"/>
      <c r="GXZ1" s="27"/>
      <c r="GYA1" s="27"/>
      <c r="GYB1" s="27"/>
      <c r="GYC1" s="27"/>
      <c r="GYD1" s="27"/>
      <c r="GYE1" s="27"/>
      <c r="GYF1" s="27"/>
      <c r="GYG1" s="27"/>
      <c r="GYH1" s="27"/>
      <c r="GYI1" s="27"/>
      <c r="GYJ1" s="27"/>
      <c r="GYK1" s="27"/>
      <c r="GYL1" s="27"/>
      <c r="GYM1" s="27"/>
      <c r="GYN1" s="27"/>
      <c r="GYO1" s="27"/>
      <c r="GYP1" s="27"/>
      <c r="GYQ1" s="27"/>
      <c r="GYR1" s="27"/>
      <c r="GYS1" s="27"/>
      <c r="GYT1" s="27"/>
      <c r="GYU1" s="27"/>
      <c r="GYV1" s="27"/>
      <c r="GYW1" s="27"/>
      <c r="GYX1" s="27"/>
      <c r="GYY1" s="27"/>
      <c r="GYZ1" s="27"/>
      <c r="GZA1" s="27"/>
      <c r="GZB1" s="27"/>
      <c r="GZC1" s="27"/>
      <c r="GZD1" s="27"/>
      <c r="GZE1" s="27"/>
      <c r="GZF1" s="27"/>
      <c r="GZG1" s="27"/>
      <c r="GZH1" s="27"/>
      <c r="GZI1" s="27"/>
      <c r="GZJ1" s="27"/>
      <c r="GZK1" s="27"/>
      <c r="GZL1" s="27"/>
      <c r="GZM1" s="27"/>
      <c r="GZN1" s="27"/>
      <c r="GZO1" s="27"/>
      <c r="GZP1" s="27"/>
      <c r="GZQ1" s="27"/>
      <c r="GZR1" s="27"/>
      <c r="GZS1" s="27"/>
      <c r="GZT1" s="27"/>
      <c r="GZU1" s="27"/>
      <c r="GZV1" s="27"/>
      <c r="GZW1" s="27"/>
      <c r="GZX1" s="27"/>
      <c r="GZY1" s="27"/>
      <c r="GZZ1" s="27"/>
      <c r="HAA1" s="27"/>
      <c r="HAB1" s="27"/>
      <c r="HAC1" s="27"/>
      <c r="HAD1" s="27"/>
      <c r="HAE1" s="27"/>
      <c r="HAF1" s="27"/>
      <c r="HAG1" s="27"/>
      <c r="HAH1" s="27"/>
      <c r="HAI1" s="27"/>
      <c r="HAJ1" s="27"/>
      <c r="HAK1" s="27"/>
      <c r="HAL1" s="27"/>
      <c r="HAM1" s="27"/>
      <c r="HAN1" s="27"/>
      <c r="HAO1" s="27"/>
      <c r="HAP1" s="27"/>
      <c r="HAQ1" s="27"/>
      <c r="HAR1" s="27"/>
      <c r="HAS1" s="27"/>
      <c r="HAT1" s="27"/>
      <c r="HAU1" s="27"/>
      <c r="HAV1" s="27"/>
      <c r="HAW1" s="27"/>
      <c r="HAX1" s="27"/>
      <c r="HAY1" s="27"/>
      <c r="HAZ1" s="27"/>
      <c r="HBA1" s="27"/>
      <c r="HBB1" s="27"/>
      <c r="HBC1" s="27"/>
      <c r="HBD1" s="27"/>
      <c r="HBE1" s="27"/>
      <c r="HBF1" s="27"/>
      <c r="HBG1" s="27"/>
      <c r="HBH1" s="27"/>
      <c r="HBI1" s="27"/>
      <c r="HBJ1" s="27"/>
      <c r="HBK1" s="27"/>
      <c r="HBL1" s="27"/>
      <c r="HBM1" s="27"/>
      <c r="HBN1" s="27"/>
      <c r="HBO1" s="27"/>
      <c r="HBP1" s="27"/>
      <c r="HBQ1" s="27"/>
      <c r="HBR1" s="27"/>
      <c r="HBS1" s="27"/>
      <c r="HBT1" s="27"/>
      <c r="HBU1" s="27"/>
      <c r="HBV1" s="27"/>
      <c r="HBW1" s="27"/>
      <c r="HBX1" s="27"/>
      <c r="HBY1" s="27"/>
      <c r="HBZ1" s="27"/>
      <c r="HCA1" s="27"/>
      <c r="HCB1" s="27"/>
      <c r="HCC1" s="27"/>
      <c r="HCD1" s="27"/>
      <c r="HCE1" s="27"/>
      <c r="HCF1" s="27"/>
      <c r="HCG1" s="27"/>
      <c r="HCH1" s="27"/>
      <c r="HCI1" s="27"/>
      <c r="HCJ1" s="27"/>
      <c r="HCK1" s="27"/>
      <c r="HCL1" s="27"/>
      <c r="HCM1" s="27"/>
      <c r="HCN1" s="27"/>
      <c r="HCO1" s="27"/>
      <c r="HCP1" s="27"/>
      <c r="HCQ1" s="27"/>
      <c r="HCR1" s="27"/>
      <c r="HCS1" s="27"/>
      <c r="HCT1" s="27"/>
      <c r="HCU1" s="27"/>
      <c r="HCV1" s="27"/>
      <c r="HCW1" s="27"/>
      <c r="HCX1" s="27"/>
      <c r="HCY1" s="27"/>
      <c r="HCZ1" s="27"/>
      <c r="HDA1" s="27"/>
      <c r="HDB1" s="27"/>
      <c r="HDC1" s="27"/>
      <c r="HDD1" s="27"/>
      <c r="HDE1" s="27"/>
      <c r="HDF1" s="27"/>
      <c r="HDG1" s="27"/>
      <c r="HDH1" s="27"/>
      <c r="HDI1" s="27"/>
      <c r="HDJ1" s="27"/>
      <c r="HDK1" s="27"/>
      <c r="HDL1" s="27"/>
      <c r="HDM1" s="27"/>
      <c r="HDN1" s="27"/>
      <c r="HDO1" s="27"/>
      <c r="HDP1" s="27"/>
      <c r="HDQ1" s="27"/>
      <c r="HDR1" s="27"/>
      <c r="HDS1" s="27"/>
      <c r="HDT1" s="27"/>
      <c r="HDU1" s="27"/>
      <c r="HDV1" s="27"/>
      <c r="HDW1" s="27"/>
      <c r="HDX1" s="27"/>
      <c r="HDY1" s="27"/>
      <c r="HDZ1" s="27"/>
      <c r="HEA1" s="27"/>
      <c r="HEB1" s="27"/>
      <c r="HEC1" s="27"/>
      <c r="HED1" s="27"/>
      <c r="HEE1" s="27"/>
      <c r="HEF1" s="27"/>
      <c r="HEG1" s="27"/>
      <c r="HEH1" s="27"/>
      <c r="HEI1" s="27"/>
      <c r="HEJ1" s="27"/>
      <c r="HEK1" s="27"/>
      <c r="HEL1" s="27"/>
      <c r="HEM1" s="27"/>
      <c r="HEN1" s="27"/>
      <c r="HEO1" s="27"/>
      <c r="HEP1" s="27"/>
      <c r="HEQ1" s="27"/>
      <c r="HER1" s="27"/>
      <c r="HES1" s="27"/>
      <c r="HET1" s="27"/>
      <c r="HEU1" s="27"/>
      <c r="HEV1" s="27"/>
      <c r="HEW1" s="27"/>
      <c r="HEX1" s="27"/>
      <c r="HEY1" s="27"/>
      <c r="HEZ1" s="27"/>
      <c r="HFA1" s="27"/>
      <c r="HFB1" s="27"/>
      <c r="HFC1" s="27"/>
      <c r="HFD1" s="27"/>
      <c r="HFE1" s="27"/>
      <c r="HFF1" s="27"/>
      <c r="HFG1" s="27"/>
      <c r="HFH1" s="27"/>
      <c r="HFI1" s="27"/>
      <c r="HFJ1" s="27"/>
      <c r="HFK1" s="27"/>
      <c r="HFL1" s="27"/>
      <c r="HFM1" s="27"/>
      <c r="HFN1" s="27"/>
      <c r="HFO1" s="27"/>
      <c r="HFP1" s="27"/>
      <c r="HFQ1" s="27"/>
      <c r="HFR1" s="27"/>
      <c r="HFS1" s="27"/>
      <c r="HFT1" s="27"/>
      <c r="HFU1" s="27"/>
      <c r="HFV1" s="27"/>
      <c r="HFW1" s="27"/>
      <c r="HFX1" s="27"/>
      <c r="HFY1" s="27"/>
      <c r="HFZ1" s="27"/>
      <c r="HGA1" s="27"/>
      <c r="HGB1" s="27"/>
      <c r="HGC1" s="27"/>
      <c r="HGD1" s="27"/>
      <c r="HGE1" s="27"/>
      <c r="HGF1" s="27"/>
      <c r="HGG1" s="27"/>
      <c r="HGH1" s="27"/>
      <c r="HGI1" s="27"/>
      <c r="HGJ1" s="27"/>
      <c r="HGK1" s="27"/>
      <c r="HGL1" s="27"/>
      <c r="HGM1" s="27"/>
      <c r="HGN1" s="27"/>
      <c r="HGO1" s="27"/>
      <c r="HGP1" s="27"/>
      <c r="HGQ1" s="27"/>
      <c r="HGR1" s="27"/>
      <c r="HGS1" s="27"/>
      <c r="HGT1" s="27"/>
      <c r="HGU1" s="27"/>
      <c r="HGV1" s="27"/>
      <c r="HGW1" s="27"/>
      <c r="HGX1" s="27"/>
      <c r="HGY1" s="27"/>
      <c r="HGZ1" s="27"/>
      <c r="HHA1" s="27"/>
      <c r="HHB1" s="27"/>
      <c r="HHC1" s="27"/>
      <c r="HHD1" s="27"/>
      <c r="HHE1" s="27"/>
      <c r="HHF1" s="27"/>
      <c r="HHG1" s="27"/>
      <c r="HHH1" s="27"/>
      <c r="HHI1" s="27"/>
      <c r="HHJ1" s="27"/>
      <c r="HHK1" s="27"/>
      <c r="HHL1" s="27"/>
      <c r="HHM1" s="27"/>
      <c r="HHN1" s="27"/>
      <c r="HHO1" s="27"/>
      <c r="HHP1" s="27"/>
      <c r="HHQ1" s="27"/>
      <c r="HHR1" s="27"/>
      <c r="HHS1" s="27"/>
      <c r="HHT1" s="27"/>
      <c r="HHU1" s="27"/>
      <c r="HHV1" s="27"/>
      <c r="HHW1" s="27"/>
      <c r="HHX1" s="27"/>
      <c r="HHY1" s="27"/>
      <c r="HHZ1" s="27"/>
      <c r="HIA1" s="27"/>
      <c r="HIB1" s="27"/>
      <c r="HIC1" s="27"/>
      <c r="HID1" s="27"/>
      <c r="HIE1" s="27"/>
      <c r="HIF1" s="27"/>
      <c r="HIG1" s="27"/>
      <c r="HIH1" s="27"/>
      <c r="HII1" s="27"/>
      <c r="HIJ1" s="27"/>
      <c r="HIK1" s="27"/>
      <c r="HIL1" s="27"/>
      <c r="HIM1" s="27"/>
      <c r="HIN1" s="27"/>
      <c r="HIO1" s="27"/>
      <c r="HIP1" s="27"/>
      <c r="HIQ1" s="27"/>
      <c r="HIR1" s="27"/>
      <c r="HIS1" s="27"/>
      <c r="HIT1" s="27"/>
      <c r="HIU1" s="27"/>
      <c r="HIV1" s="27"/>
      <c r="HIW1" s="27"/>
      <c r="HIX1" s="27"/>
      <c r="HIY1" s="27"/>
      <c r="HIZ1" s="27"/>
      <c r="HJA1" s="27"/>
      <c r="HJB1" s="27"/>
      <c r="HJC1" s="27"/>
      <c r="HJD1" s="27"/>
      <c r="HJE1" s="27"/>
      <c r="HJF1" s="27"/>
      <c r="HJG1" s="27"/>
      <c r="HJH1" s="27"/>
      <c r="HJI1" s="27"/>
      <c r="HJJ1" s="27"/>
      <c r="HJK1" s="27"/>
      <c r="HJL1" s="27"/>
      <c r="HJM1" s="27"/>
      <c r="HJN1" s="27"/>
      <c r="HJO1" s="27"/>
      <c r="HJP1" s="27"/>
      <c r="HJQ1" s="27"/>
      <c r="HJR1" s="27"/>
      <c r="HJS1" s="27"/>
      <c r="HJT1" s="27"/>
      <c r="HJU1" s="27"/>
      <c r="HJV1" s="27"/>
      <c r="HJW1" s="27"/>
      <c r="HJX1" s="27"/>
      <c r="HJY1" s="27"/>
      <c r="HJZ1" s="27"/>
      <c r="HKA1" s="27"/>
      <c r="HKB1" s="27"/>
      <c r="HKC1" s="27"/>
      <c r="HKD1" s="27"/>
      <c r="HKE1" s="27"/>
      <c r="HKF1" s="27"/>
      <c r="HKG1" s="27"/>
      <c r="HKH1" s="27"/>
      <c r="HKI1" s="27"/>
      <c r="HKJ1" s="27"/>
      <c r="HKK1" s="27"/>
      <c r="HKL1" s="27"/>
      <c r="HKM1" s="27"/>
      <c r="HKN1" s="27"/>
      <c r="HKO1" s="27"/>
      <c r="HKP1" s="27"/>
      <c r="HKQ1" s="27"/>
      <c r="HKR1" s="27"/>
      <c r="HKS1" s="27"/>
      <c r="HKT1" s="27"/>
      <c r="HKU1" s="27"/>
      <c r="HKV1" s="27"/>
      <c r="HKW1" s="27"/>
      <c r="HKX1" s="27"/>
      <c r="HKY1" s="27"/>
      <c r="HKZ1" s="27"/>
      <c r="HLA1" s="27"/>
      <c r="HLB1" s="27"/>
      <c r="HLC1" s="27"/>
      <c r="HLD1" s="27"/>
      <c r="HLE1" s="27"/>
      <c r="HLF1" s="27"/>
      <c r="HLG1" s="27"/>
      <c r="HLH1" s="27"/>
      <c r="HLI1" s="27"/>
      <c r="HLJ1" s="27"/>
      <c r="HLK1" s="27"/>
      <c r="HLL1" s="27"/>
      <c r="HLM1" s="27"/>
      <c r="HLN1" s="27"/>
      <c r="HLO1" s="27"/>
      <c r="HLP1" s="27"/>
      <c r="HLQ1" s="27"/>
      <c r="HLR1" s="27"/>
      <c r="HLS1" s="27"/>
      <c r="HLT1" s="27"/>
      <c r="HLU1" s="27"/>
      <c r="HLV1" s="27"/>
      <c r="HLW1" s="27"/>
      <c r="HLX1" s="27"/>
      <c r="HLY1" s="27"/>
      <c r="HLZ1" s="27"/>
      <c r="HMA1" s="27"/>
      <c r="HMB1" s="27"/>
      <c r="HMC1" s="27"/>
      <c r="HMD1" s="27"/>
      <c r="HME1" s="27"/>
      <c r="HMF1" s="27"/>
      <c r="HMG1" s="27"/>
      <c r="HMH1" s="27"/>
      <c r="HMI1" s="27"/>
      <c r="HMJ1" s="27"/>
      <c r="HMK1" s="27"/>
      <c r="HML1" s="27"/>
      <c r="HMM1" s="27"/>
      <c r="HMN1" s="27"/>
      <c r="HMO1" s="27"/>
      <c r="HMP1" s="27"/>
      <c r="HMQ1" s="27"/>
      <c r="HMR1" s="27"/>
      <c r="HMS1" s="27"/>
      <c r="HMT1" s="27"/>
      <c r="HMU1" s="27"/>
      <c r="HMV1" s="27"/>
      <c r="HMW1" s="27"/>
      <c r="HMX1" s="27"/>
      <c r="HMY1" s="27"/>
      <c r="HMZ1" s="27"/>
      <c r="HNA1" s="27"/>
      <c r="HNB1" s="27"/>
      <c r="HNC1" s="27"/>
      <c r="HND1" s="27"/>
      <c r="HNE1" s="27"/>
      <c r="HNF1" s="27"/>
      <c r="HNG1" s="27"/>
      <c r="HNH1" s="27"/>
      <c r="HNI1" s="27"/>
      <c r="HNJ1" s="27"/>
      <c r="HNK1" s="27"/>
      <c r="HNL1" s="27"/>
      <c r="HNM1" s="27"/>
      <c r="HNN1" s="27"/>
      <c r="HNO1" s="27"/>
      <c r="HNP1" s="27"/>
      <c r="HNQ1" s="27"/>
      <c r="HNR1" s="27"/>
      <c r="HNS1" s="27"/>
      <c r="HNT1" s="27"/>
      <c r="HNU1" s="27"/>
      <c r="HNV1" s="27"/>
      <c r="HNW1" s="27"/>
      <c r="HNX1" s="27"/>
      <c r="HNY1" s="27"/>
      <c r="HNZ1" s="27"/>
      <c r="HOA1" s="27"/>
      <c r="HOB1" s="27"/>
      <c r="HOC1" s="27"/>
      <c r="HOD1" s="27"/>
      <c r="HOE1" s="27"/>
      <c r="HOF1" s="27"/>
      <c r="HOG1" s="27"/>
      <c r="HOH1" s="27"/>
      <c r="HOI1" s="27"/>
      <c r="HOJ1" s="27"/>
      <c r="HOK1" s="27"/>
      <c r="HOL1" s="27"/>
      <c r="HOM1" s="27"/>
      <c r="HON1" s="27"/>
      <c r="HOO1" s="27"/>
      <c r="HOP1" s="27"/>
      <c r="HOQ1" s="27"/>
      <c r="HOR1" s="27"/>
      <c r="HOS1" s="27"/>
      <c r="HOT1" s="27"/>
      <c r="HOU1" s="27"/>
      <c r="HOV1" s="27"/>
      <c r="HOW1" s="27"/>
      <c r="HOX1" s="27"/>
      <c r="HOY1" s="27"/>
      <c r="HOZ1" s="27"/>
      <c r="HPA1" s="27"/>
      <c r="HPB1" s="27"/>
      <c r="HPC1" s="27"/>
      <c r="HPD1" s="27"/>
      <c r="HPE1" s="27"/>
      <c r="HPF1" s="27"/>
      <c r="HPG1" s="27"/>
      <c r="HPH1" s="27"/>
      <c r="HPI1" s="27"/>
      <c r="HPJ1" s="27"/>
      <c r="HPK1" s="27"/>
      <c r="HPL1" s="27"/>
      <c r="HPM1" s="27"/>
      <c r="HPN1" s="27"/>
      <c r="HPO1" s="27"/>
      <c r="HPP1" s="27"/>
      <c r="HPQ1" s="27"/>
      <c r="HPR1" s="27"/>
      <c r="HPS1" s="27"/>
      <c r="HPT1" s="27"/>
      <c r="HPU1" s="27"/>
      <c r="HPV1" s="27"/>
      <c r="HPW1" s="27"/>
      <c r="HPX1" s="27"/>
      <c r="HPY1" s="27"/>
      <c r="HPZ1" s="27"/>
      <c r="HQA1" s="27"/>
      <c r="HQB1" s="27"/>
      <c r="HQC1" s="27"/>
      <c r="HQD1" s="27"/>
      <c r="HQE1" s="27"/>
      <c r="HQF1" s="27"/>
      <c r="HQG1" s="27"/>
      <c r="HQH1" s="27"/>
      <c r="HQI1" s="27"/>
      <c r="HQJ1" s="27"/>
      <c r="HQK1" s="27"/>
      <c r="HQL1" s="27"/>
      <c r="HQM1" s="27"/>
      <c r="HQN1" s="27"/>
      <c r="HQO1" s="27"/>
      <c r="HQP1" s="27"/>
      <c r="HQQ1" s="27"/>
      <c r="HQR1" s="27"/>
      <c r="HQS1" s="27"/>
      <c r="HQT1" s="27"/>
      <c r="HQU1" s="27"/>
      <c r="HQV1" s="27"/>
      <c r="HQW1" s="27"/>
      <c r="HQX1" s="27"/>
      <c r="HQY1" s="27"/>
      <c r="HQZ1" s="27"/>
      <c r="HRA1" s="27"/>
      <c r="HRB1" s="27"/>
      <c r="HRC1" s="27"/>
      <c r="HRD1" s="27"/>
      <c r="HRE1" s="27"/>
      <c r="HRF1" s="27"/>
      <c r="HRG1" s="27"/>
      <c r="HRH1" s="27"/>
      <c r="HRI1" s="27"/>
      <c r="HRJ1" s="27"/>
      <c r="HRK1" s="27"/>
      <c r="HRL1" s="27"/>
      <c r="HRM1" s="27"/>
      <c r="HRN1" s="27"/>
      <c r="HRO1" s="27"/>
      <c r="HRP1" s="27"/>
      <c r="HRQ1" s="27"/>
      <c r="HRR1" s="27"/>
      <c r="HRS1" s="27"/>
      <c r="HRT1" s="27"/>
      <c r="HRU1" s="27"/>
      <c r="HRV1" s="27"/>
      <c r="HRW1" s="27"/>
      <c r="HRX1" s="27"/>
      <c r="HRY1" s="27"/>
      <c r="HRZ1" s="27"/>
      <c r="HSA1" s="27"/>
      <c r="HSB1" s="27"/>
      <c r="HSC1" s="27"/>
      <c r="HSD1" s="27"/>
      <c r="HSE1" s="27"/>
      <c r="HSF1" s="27"/>
      <c r="HSG1" s="27"/>
      <c r="HSH1" s="27"/>
      <c r="HSI1" s="27"/>
      <c r="HSJ1" s="27"/>
      <c r="HSK1" s="27"/>
      <c r="HSL1" s="27"/>
      <c r="HSM1" s="27"/>
      <c r="HSN1" s="27"/>
      <c r="HSO1" s="27"/>
      <c r="HSP1" s="27"/>
      <c r="HSQ1" s="27"/>
      <c r="HSR1" s="27"/>
      <c r="HSS1" s="27"/>
      <c r="HST1" s="27"/>
      <c r="HSU1" s="27"/>
      <c r="HSV1" s="27"/>
      <c r="HSW1" s="27"/>
      <c r="HSX1" s="27"/>
      <c r="HSY1" s="27"/>
      <c r="HSZ1" s="27"/>
      <c r="HTA1" s="27"/>
      <c r="HTB1" s="27"/>
      <c r="HTC1" s="27"/>
      <c r="HTD1" s="27"/>
      <c r="HTE1" s="27"/>
      <c r="HTF1" s="27"/>
      <c r="HTG1" s="27"/>
      <c r="HTH1" s="27"/>
      <c r="HTI1" s="27"/>
      <c r="HTJ1" s="27"/>
      <c r="HTK1" s="27"/>
      <c r="HTL1" s="27"/>
      <c r="HTM1" s="27"/>
      <c r="HTN1" s="27"/>
      <c r="HTO1" s="27"/>
      <c r="HTP1" s="27"/>
      <c r="HTQ1" s="27"/>
      <c r="HTR1" s="27"/>
      <c r="HTS1" s="27"/>
      <c r="HTT1" s="27"/>
      <c r="HTU1" s="27"/>
      <c r="HTV1" s="27"/>
      <c r="HTW1" s="27"/>
      <c r="HTX1" s="27"/>
      <c r="HTY1" s="27"/>
      <c r="HTZ1" s="27"/>
      <c r="HUA1" s="27"/>
      <c r="HUB1" s="27"/>
      <c r="HUC1" s="27"/>
      <c r="HUD1" s="27"/>
      <c r="HUE1" s="27"/>
      <c r="HUF1" s="27"/>
      <c r="HUG1" s="27"/>
      <c r="HUH1" s="27"/>
      <c r="HUI1" s="27"/>
      <c r="HUJ1" s="27"/>
      <c r="HUK1" s="27"/>
      <c r="HUL1" s="27"/>
      <c r="HUM1" s="27"/>
      <c r="HUN1" s="27"/>
      <c r="HUO1" s="27"/>
      <c r="HUP1" s="27"/>
      <c r="HUQ1" s="27"/>
      <c r="HUR1" s="27"/>
      <c r="HUS1" s="27"/>
      <c r="HUT1" s="27"/>
      <c r="HUU1" s="27"/>
      <c r="HUV1" s="27"/>
      <c r="HUW1" s="27"/>
      <c r="HUX1" s="27"/>
      <c r="HUY1" s="27"/>
      <c r="HUZ1" s="27"/>
      <c r="HVA1" s="27"/>
      <c r="HVB1" s="27"/>
      <c r="HVC1" s="27"/>
      <c r="HVD1" s="27"/>
      <c r="HVE1" s="27"/>
      <c r="HVF1" s="27"/>
      <c r="HVG1" s="27"/>
      <c r="HVH1" s="27"/>
      <c r="HVI1" s="27"/>
      <c r="HVJ1" s="27"/>
      <c r="HVK1" s="27"/>
      <c r="HVL1" s="27"/>
      <c r="HVM1" s="27"/>
      <c r="HVN1" s="27"/>
      <c r="HVO1" s="27"/>
      <c r="HVP1" s="27"/>
      <c r="HVQ1" s="27"/>
      <c r="HVR1" s="27"/>
      <c r="HVS1" s="27"/>
      <c r="HVT1" s="27"/>
      <c r="HVU1" s="27"/>
      <c r="HVV1" s="27"/>
      <c r="HVW1" s="27"/>
      <c r="HVX1" s="27"/>
      <c r="HVY1" s="27"/>
      <c r="HVZ1" s="27"/>
      <c r="HWA1" s="27"/>
      <c r="HWB1" s="27"/>
      <c r="HWC1" s="27"/>
      <c r="HWD1" s="27"/>
      <c r="HWE1" s="27"/>
      <c r="HWF1" s="27"/>
      <c r="HWG1" s="27"/>
      <c r="HWH1" s="27"/>
      <c r="HWI1" s="27"/>
      <c r="HWJ1" s="27"/>
      <c r="HWK1" s="27"/>
      <c r="HWL1" s="27"/>
      <c r="HWM1" s="27"/>
      <c r="HWN1" s="27"/>
      <c r="HWO1" s="27"/>
      <c r="HWP1" s="27"/>
      <c r="HWQ1" s="27"/>
      <c r="HWR1" s="27"/>
      <c r="HWS1" s="27"/>
      <c r="HWT1" s="27"/>
      <c r="HWU1" s="27"/>
      <c r="HWV1" s="27"/>
      <c r="HWW1" s="27"/>
      <c r="HWX1" s="27"/>
      <c r="HWY1" s="27"/>
      <c r="HWZ1" s="27"/>
      <c r="HXA1" s="27"/>
      <c r="HXB1" s="27"/>
      <c r="HXC1" s="27"/>
      <c r="HXD1" s="27"/>
      <c r="HXE1" s="27"/>
      <c r="HXF1" s="27"/>
      <c r="HXG1" s="27"/>
      <c r="HXH1" s="27"/>
      <c r="HXI1" s="27"/>
      <c r="HXJ1" s="27"/>
      <c r="HXK1" s="27"/>
      <c r="HXL1" s="27"/>
      <c r="HXM1" s="27"/>
      <c r="HXN1" s="27"/>
      <c r="HXO1" s="27"/>
      <c r="HXP1" s="27"/>
      <c r="HXQ1" s="27"/>
      <c r="HXR1" s="27"/>
      <c r="HXS1" s="27"/>
      <c r="HXT1" s="27"/>
      <c r="HXU1" s="27"/>
      <c r="HXV1" s="27"/>
      <c r="HXW1" s="27"/>
      <c r="HXX1" s="27"/>
      <c r="HXY1" s="27"/>
      <c r="HXZ1" s="27"/>
      <c r="HYA1" s="27"/>
      <c r="HYB1" s="27"/>
      <c r="HYC1" s="27"/>
      <c r="HYD1" s="27"/>
      <c r="HYE1" s="27"/>
      <c r="HYF1" s="27"/>
      <c r="HYG1" s="27"/>
      <c r="HYH1" s="27"/>
      <c r="HYI1" s="27"/>
      <c r="HYJ1" s="27"/>
      <c r="HYK1" s="27"/>
      <c r="HYL1" s="27"/>
      <c r="HYM1" s="27"/>
      <c r="HYN1" s="27"/>
      <c r="HYO1" s="27"/>
      <c r="HYP1" s="27"/>
      <c r="HYQ1" s="27"/>
      <c r="HYR1" s="27"/>
      <c r="HYS1" s="27"/>
      <c r="HYT1" s="27"/>
      <c r="HYU1" s="27"/>
      <c r="HYV1" s="27"/>
      <c r="HYW1" s="27"/>
      <c r="HYX1" s="27"/>
      <c r="HYY1" s="27"/>
      <c r="HYZ1" s="27"/>
      <c r="HZA1" s="27"/>
      <c r="HZB1" s="27"/>
      <c r="HZC1" s="27"/>
      <c r="HZD1" s="27"/>
      <c r="HZE1" s="27"/>
      <c r="HZF1" s="27"/>
      <c r="HZG1" s="27"/>
      <c r="HZH1" s="27"/>
      <c r="HZI1" s="27"/>
      <c r="HZJ1" s="27"/>
      <c r="HZK1" s="27"/>
      <c r="HZL1" s="27"/>
      <c r="HZM1" s="27"/>
      <c r="HZN1" s="27"/>
      <c r="HZO1" s="27"/>
      <c r="HZP1" s="27"/>
      <c r="HZQ1" s="27"/>
      <c r="HZR1" s="27"/>
      <c r="HZS1" s="27"/>
      <c r="HZT1" s="27"/>
      <c r="HZU1" s="27"/>
      <c r="HZV1" s="27"/>
      <c r="HZW1" s="27"/>
      <c r="HZX1" s="27"/>
      <c r="HZY1" s="27"/>
      <c r="HZZ1" s="27"/>
      <c r="IAA1" s="27"/>
      <c r="IAB1" s="27"/>
      <c r="IAC1" s="27"/>
      <c r="IAD1" s="27"/>
      <c r="IAE1" s="27"/>
      <c r="IAF1" s="27"/>
      <c r="IAG1" s="27"/>
      <c r="IAH1" s="27"/>
      <c r="IAI1" s="27"/>
      <c r="IAJ1" s="27"/>
      <c r="IAK1" s="27"/>
      <c r="IAL1" s="27"/>
      <c r="IAM1" s="27"/>
      <c r="IAN1" s="27"/>
      <c r="IAO1" s="27"/>
      <c r="IAP1" s="27"/>
      <c r="IAQ1" s="27"/>
      <c r="IAR1" s="27"/>
      <c r="IAS1" s="27"/>
      <c r="IAT1" s="27"/>
      <c r="IAU1" s="27"/>
      <c r="IAV1" s="27"/>
      <c r="IAW1" s="27"/>
      <c r="IAX1" s="27"/>
      <c r="IAY1" s="27"/>
      <c r="IAZ1" s="27"/>
      <c r="IBA1" s="27"/>
      <c r="IBB1" s="27"/>
      <c r="IBC1" s="27"/>
      <c r="IBD1" s="27"/>
      <c r="IBE1" s="27"/>
      <c r="IBF1" s="27"/>
      <c r="IBG1" s="27"/>
      <c r="IBH1" s="27"/>
      <c r="IBI1" s="27"/>
      <c r="IBJ1" s="27"/>
      <c r="IBK1" s="27"/>
      <c r="IBL1" s="27"/>
      <c r="IBM1" s="27"/>
      <c r="IBN1" s="27"/>
      <c r="IBO1" s="27"/>
      <c r="IBP1" s="27"/>
      <c r="IBQ1" s="27"/>
      <c r="IBR1" s="27"/>
      <c r="IBS1" s="27"/>
      <c r="IBT1" s="27"/>
      <c r="IBU1" s="27"/>
      <c r="IBV1" s="27"/>
      <c r="IBW1" s="27"/>
      <c r="IBX1" s="27"/>
      <c r="IBY1" s="27"/>
      <c r="IBZ1" s="27"/>
      <c r="ICA1" s="27"/>
      <c r="ICB1" s="27"/>
      <c r="ICC1" s="27"/>
      <c r="ICD1" s="27"/>
      <c r="ICE1" s="27"/>
      <c r="ICF1" s="27"/>
      <c r="ICG1" s="27"/>
      <c r="ICH1" s="27"/>
      <c r="ICI1" s="27"/>
      <c r="ICJ1" s="27"/>
      <c r="ICK1" s="27"/>
      <c r="ICL1" s="27"/>
      <c r="ICM1" s="27"/>
      <c r="ICN1" s="27"/>
      <c r="ICO1" s="27"/>
      <c r="ICP1" s="27"/>
      <c r="ICQ1" s="27"/>
      <c r="ICR1" s="27"/>
      <c r="ICS1" s="27"/>
      <c r="ICT1" s="27"/>
      <c r="ICU1" s="27"/>
      <c r="ICV1" s="27"/>
      <c r="ICW1" s="27"/>
      <c r="ICX1" s="27"/>
      <c r="ICY1" s="27"/>
      <c r="ICZ1" s="27"/>
      <c r="IDA1" s="27"/>
      <c r="IDB1" s="27"/>
      <c r="IDC1" s="27"/>
      <c r="IDD1" s="27"/>
      <c r="IDE1" s="27"/>
      <c r="IDF1" s="27"/>
      <c r="IDG1" s="27"/>
      <c r="IDH1" s="27"/>
      <c r="IDI1" s="27"/>
      <c r="IDJ1" s="27"/>
      <c r="IDK1" s="27"/>
      <c r="IDL1" s="27"/>
      <c r="IDM1" s="27"/>
      <c r="IDN1" s="27"/>
      <c r="IDO1" s="27"/>
      <c r="IDP1" s="27"/>
      <c r="IDQ1" s="27"/>
      <c r="IDR1" s="27"/>
      <c r="IDS1" s="27"/>
      <c r="IDT1" s="27"/>
      <c r="IDU1" s="27"/>
      <c r="IDV1" s="27"/>
      <c r="IDW1" s="27"/>
      <c r="IDX1" s="27"/>
      <c r="IDY1" s="27"/>
      <c r="IDZ1" s="27"/>
      <c r="IEA1" s="27"/>
      <c r="IEB1" s="27"/>
      <c r="IEC1" s="27"/>
      <c r="IED1" s="27"/>
      <c r="IEE1" s="27"/>
      <c r="IEF1" s="27"/>
      <c r="IEG1" s="27"/>
      <c r="IEH1" s="27"/>
      <c r="IEI1" s="27"/>
      <c r="IEJ1" s="27"/>
      <c r="IEK1" s="27"/>
      <c r="IEL1" s="27"/>
      <c r="IEM1" s="27"/>
      <c r="IEN1" s="27"/>
      <c r="IEO1" s="27"/>
      <c r="IEP1" s="27"/>
      <c r="IEQ1" s="27"/>
      <c r="IER1" s="27"/>
      <c r="IES1" s="27"/>
      <c r="IET1" s="27"/>
      <c r="IEU1" s="27"/>
      <c r="IEV1" s="27"/>
      <c r="IEW1" s="27"/>
      <c r="IEX1" s="27"/>
      <c r="IEY1" s="27"/>
      <c r="IEZ1" s="27"/>
      <c r="IFA1" s="27"/>
      <c r="IFB1" s="27"/>
      <c r="IFC1" s="27"/>
      <c r="IFD1" s="27"/>
      <c r="IFE1" s="27"/>
      <c r="IFF1" s="27"/>
      <c r="IFG1" s="27"/>
      <c r="IFH1" s="27"/>
      <c r="IFI1" s="27"/>
      <c r="IFJ1" s="27"/>
      <c r="IFK1" s="27"/>
      <c r="IFL1" s="27"/>
      <c r="IFM1" s="27"/>
      <c r="IFN1" s="27"/>
      <c r="IFO1" s="27"/>
      <c r="IFP1" s="27"/>
      <c r="IFQ1" s="27"/>
      <c r="IFR1" s="27"/>
      <c r="IFS1" s="27"/>
      <c r="IFT1" s="27"/>
      <c r="IFU1" s="27"/>
      <c r="IFV1" s="27"/>
      <c r="IFW1" s="27"/>
      <c r="IFX1" s="27"/>
      <c r="IFY1" s="27"/>
      <c r="IFZ1" s="27"/>
      <c r="IGA1" s="27"/>
      <c r="IGB1" s="27"/>
      <c r="IGC1" s="27"/>
      <c r="IGD1" s="27"/>
      <c r="IGE1" s="27"/>
      <c r="IGF1" s="27"/>
      <c r="IGG1" s="27"/>
      <c r="IGH1" s="27"/>
      <c r="IGI1" s="27"/>
      <c r="IGJ1" s="27"/>
      <c r="IGK1" s="27"/>
      <c r="IGL1" s="27"/>
      <c r="IGM1" s="27"/>
      <c r="IGN1" s="27"/>
      <c r="IGO1" s="27"/>
      <c r="IGP1" s="27"/>
      <c r="IGQ1" s="27"/>
      <c r="IGR1" s="27"/>
      <c r="IGS1" s="27"/>
      <c r="IGT1" s="27"/>
      <c r="IGU1" s="27"/>
      <c r="IGV1" s="27"/>
      <c r="IGW1" s="27"/>
      <c r="IGX1" s="27"/>
      <c r="IGY1" s="27"/>
      <c r="IGZ1" s="27"/>
      <c r="IHA1" s="27"/>
      <c r="IHB1" s="27"/>
      <c r="IHC1" s="27"/>
      <c r="IHD1" s="27"/>
      <c r="IHE1" s="27"/>
      <c r="IHF1" s="27"/>
      <c r="IHG1" s="27"/>
      <c r="IHH1" s="27"/>
      <c r="IHI1" s="27"/>
      <c r="IHJ1" s="27"/>
      <c r="IHK1" s="27"/>
      <c r="IHL1" s="27"/>
      <c r="IHM1" s="27"/>
      <c r="IHN1" s="27"/>
      <c r="IHO1" s="27"/>
      <c r="IHP1" s="27"/>
      <c r="IHQ1" s="27"/>
      <c r="IHR1" s="27"/>
      <c r="IHS1" s="27"/>
      <c r="IHT1" s="27"/>
      <c r="IHU1" s="27"/>
      <c r="IHV1" s="27"/>
      <c r="IHW1" s="27"/>
      <c r="IHX1" s="27"/>
      <c r="IHY1" s="27"/>
      <c r="IHZ1" s="27"/>
      <c r="IIA1" s="27"/>
      <c r="IIB1" s="27"/>
      <c r="IIC1" s="27"/>
      <c r="IID1" s="27"/>
      <c r="IIE1" s="27"/>
      <c r="IIF1" s="27"/>
      <c r="IIG1" s="27"/>
      <c r="IIH1" s="27"/>
      <c r="III1" s="27"/>
      <c r="IIJ1" s="27"/>
      <c r="IIK1" s="27"/>
      <c r="IIL1" s="27"/>
      <c r="IIM1" s="27"/>
      <c r="IIN1" s="27"/>
      <c r="IIO1" s="27"/>
      <c r="IIP1" s="27"/>
      <c r="IIQ1" s="27"/>
      <c r="IIR1" s="27"/>
      <c r="IIS1" s="27"/>
      <c r="IIT1" s="27"/>
      <c r="IIU1" s="27"/>
      <c r="IIV1" s="27"/>
      <c r="IIW1" s="27"/>
      <c r="IIX1" s="27"/>
      <c r="IIY1" s="27"/>
      <c r="IIZ1" s="27"/>
      <c r="IJA1" s="27"/>
      <c r="IJB1" s="27"/>
      <c r="IJC1" s="27"/>
      <c r="IJD1" s="27"/>
      <c r="IJE1" s="27"/>
      <c r="IJF1" s="27"/>
      <c r="IJG1" s="27"/>
      <c r="IJH1" s="27"/>
      <c r="IJI1" s="27"/>
      <c r="IJJ1" s="27"/>
      <c r="IJK1" s="27"/>
      <c r="IJL1" s="27"/>
      <c r="IJM1" s="27"/>
      <c r="IJN1" s="27"/>
      <c r="IJO1" s="27"/>
      <c r="IJP1" s="27"/>
      <c r="IJQ1" s="27"/>
      <c r="IJR1" s="27"/>
      <c r="IJS1" s="27"/>
      <c r="IJT1" s="27"/>
      <c r="IJU1" s="27"/>
      <c r="IJV1" s="27"/>
      <c r="IJW1" s="27"/>
      <c r="IJX1" s="27"/>
      <c r="IJY1" s="27"/>
      <c r="IJZ1" s="27"/>
      <c r="IKA1" s="27"/>
      <c r="IKB1" s="27"/>
      <c r="IKC1" s="27"/>
      <c r="IKD1" s="27"/>
      <c r="IKE1" s="27"/>
      <c r="IKF1" s="27"/>
      <c r="IKG1" s="27"/>
      <c r="IKH1" s="27"/>
      <c r="IKI1" s="27"/>
      <c r="IKJ1" s="27"/>
      <c r="IKK1" s="27"/>
      <c r="IKL1" s="27"/>
      <c r="IKM1" s="27"/>
      <c r="IKN1" s="27"/>
      <c r="IKO1" s="27"/>
      <c r="IKP1" s="27"/>
      <c r="IKQ1" s="27"/>
      <c r="IKR1" s="27"/>
      <c r="IKS1" s="27"/>
      <c r="IKT1" s="27"/>
      <c r="IKU1" s="27"/>
      <c r="IKV1" s="27"/>
      <c r="IKW1" s="27"/>
      <c r="IKX1" s="27"/>
      <c r="IKY1" s="27"/>
      <c r="IKZ1" s="27"/>
      <c r="ILA1" s="27"/>
      <c r="ILB1" s="27"/>
      <c r="ILC1" s="27"/>
      <c r="ILD1" s="27"/>
      <c r="ILE1" s="27"/>
      <c r="ILF1" s="27"/>
      <c r="ILG1" s="27"/>
      <c r="ILH1" s="27"/>
      <c r="ILI1" s="27"/>
      <c r="ILJ1" s="27"/>
      <c r="ILK1" s="27"/>
      <c r="ILL1" s="27"/>
      <c r="ILM1" s="27"/>
      <c r="ILN1" s="27"/>
      <c r="ILO1" s="27"/>
      <c r="ILP1" s="27"/>
      <c r="ILQ1" s="27"/>
      <c r="ILR1" s="27"/>
      <c r="ILS1" s="27"/>
      <c r="ILT1" s="27"/>
      <c r="ILU1" s="27"/>
      <c r="ILV1" s="27"/>
      <c r="ILW1" s="27"/>
      <c r="ILX1" s="27"/>
      <c r="ILY1" s="27"/>
      <c r="ILZ1" s="27"/>
      <c r="IMA1" s="27"/>
      <c r="IMB1" s="27"/>
      <c r="IMC1" s="27"/>
      <c r="IMD1" s="27"/>
      <c r="IME1" s="27"/>
      <c r="IMF1" s="27"/>
      <c r="IMG1" s="27"/>
      <c r="IMH1" s="27"/>
      <c r="IMI1" s="27"/>
      <c r="IMJ1" s="27"/>
      <c r="IMK1" s="27"/>
      <c r="IML1" s="27"/>
      <c r="IMM1" s="27"/>
      <c r="IMN1" s="27"/>
      <c r="IMO1" s="27"/>
      <c r="IMP1" s="27"/>
      <c r="IMQ1" s="27"/>
      <c r="IMR1" s="27"/>
      <c r="IMS1" s="27"/>
      <c r="IMT1" s="27"/>
      <c r="IMU1" s="27"/>
      <c r="IMV1" s="27"/>
      <c r="IMW1" s="27"/>
      <c r="IMX1" s="27"/>
      <c r="IMY1" s="27"/>
      <c r="IMZ1" s="27"/>
      <c r="INA1" s="27"/>
      <c r="INB1" s="27"/>
      <c r="INC1" s="27"/>
      <c r="IND1" s="27"/>
      <c r="INE1" s="27"/>
      <c r="INF1" s="27"/>
      <c r="ING1" s="27"/>
      <c r="INH1" s="27"/>
      <c r="INI1" s="27"/>
      <c r="INJ1" s="27"/>
      <c r="INK1" s="27"/>
      <c r="INL1" s="27"/>
      <c r="INM1" s="27"/>
      <c r="INN1" s="27"/>
      <c r="INO1" s="27"/>
      <c r="INP1" s="27"/>
      <c r="INQ1" s="27"/>
      <c r="INR1" s="27"/>
      <c r="INS1" s="27"/>
      <c r="INT1" s="27"/>
      <c r="INU1" s="27"/>
      <c r="INV1" s="27"/>
      <c r="INW1" s="27"/>
      <c r="INX1" s="27"/>
      <c r="INY1" s="27"/>
      <c r="INZ1" s="27"/>
      <c r="IOA1" s="27"/>
      <c r="IOB1" s="27"/>
      <c r="IOC1" s="27"/>
      <c r="IOD1" s="27"/>
      <c r="IOE1" s="27"/>
      <c r="IOF1" s="27"/>
      <c r="IOG1" s="27"/>
      <c r="IOH1" s="27"/>
      <c r="IOI1" s="27"/>
      <c r="IOJ1" s="27"/>
      <c r="IOK1" s="27"/>
      <c r="IOL1" s="27"/>
      <c r="IOM1" s="27"/>
      <c r="ION1" s="27"/>
      <c r="IOO1" s="27"/>
      <c r="IOP1" s="27"/>
      <c r="IOQ1" s="27"/>
      <c r="IOR1" s="27"/>
      <c r="IOS1" s="27"/>
      <c r="IOT1" s="27"/>
      <c r="IOU1" s="27"/>
      <c r="IOV1" s="27"/>
      <c r="IOW1" s="27"/>
      <c r="IOX1" s="27"/>
      <c r="IOY1" s="27"/>
      <c r="IOZ1" s="27"/>
      <c r="IPA1" s="27"/>
      <c r="IPB1" s="27"/>
      <c r="IPC1" s="27"/>
      <c r="IPD1" s="27"/>
      <c r="IPE1" s="27"/>
      <c r="IPF1" s="27"/>
      <c r="IPG1" s="27"/>
      <c r="IPH1" s="27"/>
      <c r="IPI1" s="27"/>
      <c r="IPJ1" s="27"/>
      <c r="IPK1" s="27"/>
      <c r="IPL1" s="27"/>
      <c r="IPM1" s="27"/>
      <c r="IPN1" s="27"/>
      <c r="IPO1" s="27"/>
      <c r="IPP1" s="27"/>
      <c r="IPQ1" s="27"/>
      <c r="IPR1" s="27"/>
      <c r="IPS1" s="27"/>
      <c r="IPT1" s="27"/>
      <c r="IPU1" s="27"/>
      <c r="IPV1" s="27"/>
      <c r="IPW1" s="27"/>
      <c r="IPX1" s="27"/>
      <c r="IPY1" s="27"/>
      <c r="IPZ1" s="27"/>
      <c r="IQA1" s="27"/>
      <c r="IQB1" s="27"/>
      <c r="IQC1" s="27"/>
      <c r="IQD1" s="27"/>
      <c r="IQE1" s="27"/>
      <c r="IQF1" s="27"/>
      <c r="IQG1" s="27"/>
      <c r="IQH1" s="27"/>
      <c r="IQI1" s="27"/>
      <c r="IQJ1" s="27"/>
      <c r="IQK1" s="27"/>
      <c r="IQL1" s="27"/>
      <c r="IQM1" s="27"/>
      <c r="IQN1" s="27"/>
      <c r="IQO1" s="27"/>
      <c r="IQP1" s="27"/>
      <c r="IQQ1" s="27"/>
      <c r="IQR1" s="27"/>
      <c r="IQS1" s="27"/>
      <c r="IQT1" s="27"/>
      <c r="IQU1" s="27"/>
      <c r="IQV1" s="27"/>
      <c r="IQW1" s="27"/>
      <c r="IQX1" s="27"/>
      <c r="IQY1" s="27"/>
      <c r="IQZ1" s="27"/>
      <c r="IRA1" s="27"/>
      <c r="IRB1" s="27"/>
      <c r="IRC1" s="27"/>
      <c r="IRD1" s="27"/>
      <c r="IRE1" s="27"/>
      <c r="IRF1" s="27"/>
      <c r="IRG1" s="27"/>
      <c r="IRH1" s="27"/>
      <c r="IRI1" s="27"/>
      <c r="IRJ1" s="27"/>
      <c r="IRK1" s="27"/>
      <c r="IRL1" s="27"/>
      <c r="IRM1" s="27"/>
      <c r="IRN1" s="27"/>
      <c r="IRO1" s="27"/>
      <c r="IRP1" s="27"/>
      <c r="IRQ1" s="27"/>
      <c r="IRR1" s="27"/>
      <c r="IRS1" s="27"/>
      <c r="IRT1" s="27"/>
      <c r="IRU1" s="27"/>
      <c r="IRV1" s="27"/>
      <c r="IRW1" s="27"/>
      <c r="IRX1" s="27"/>
      <c r="IRY1" s="27"/>
      <c r="IRZ1" s="27"/>
      <c r="ISA1" s="27"/>
      <c r="ISB1" s="27"/>
      <c r="ISC1" s="27"/>
      <c r="ISD1" s="27"/>
      <c r="ISE1" s="27"/>
      <c r="ISF1" s="27"/>
      <c r="ISG1" s="27"/>
      <c r="ISH1" s="27"/>
      <c r="ISI1" s="27"/>
      <c r="ISJ1" s="27"/>
      <c r="ISK1" s="27"/>
      <c r="ISL1" s="27"/>
      <c r="ISM1" s="27"/>
      <c r="ISN1" s="27"/>
      <c r="ISO1" s="27"/>
      <c r="ISP1" s="27"/>
      <c r="ISQ1" s="27"/>
      <c r="ISR1" s="27"/>
      <c r="ISS1" s="27"/>
      <c r="IST1" s="27"/>
      <c r="ISU1" s="27"/>
      <c r="ISV1" s="27"/>
      <c r="ISW1" s="27"/>
      <c r="ISX1" s="27"/>
      <c r="ISY1" s="27"/>
      <c r="ISZ1" s="27"/>
      <c r="ITA1" s="27"/>
      <c r="ITB1" s="27"/>
      <c r="ITC1" s="27"/>
      <c r="ITD1" s="27"/>
      <c r="ITE1" s="27"/>
      <c r="ITF1" s="27"/>
      <c r="ITG1" s="27"/>
      <c r="ITH1" s="27"/>
      <c r="ITI1" s="27"/>
      <c r="ITJ1" s="27"/>
      <c r="ITK1" s="27"/>
      <c r="ITL1" s="27"/>
      <c r="ITM1" s="27"/>
      <c r="ITN1" s="27"/>
      <c r="ITO1" s="27"/>
      <c r="ITP1" s="27"/>
      <c r="ITQ1" s="27"/>
      <c r="ITR1" s="27"/>
      <c r="ITS1" s="27"/>
      <c r="ITT1" s="27"/>
      <c r="ITU1" s="27"/>
      <c r="ITV1" s="27"/>
      <c r="ITW1" s="27"/>
      <c r="ITX1" s="27"/>
      <c r="ITY1" s="27"/>
      <c r="ITZ1" s="27"/>
      <c r="IUA1" s="27"/>
      <c r="IUB1" s="27"/>
      <c r="IUC1" s="27"/>
      <c r="IUD1" s="27"/>
      <c r="IUE1" s="27"/>
      <c r="IUF1" s="27"/>
      <c r="IUG1" s="27"/>
      <c r="IUH1" s="27"/>
      <c r="IUI1" s="27"/>
      <c r="IUJ1" s="27"/>
      <c r="IUK1" s="27"/>
      <c r="IUL1" s="27"/>
      <c r="IUM1" s="27"/>
      <c r="IUN1" s="27"/>
      <c r="IUO1" s="27"/>
      <c r="IUP1" s="27"/>
      <c r="IUQ1" s="27"/>
      <c r="IUR1" s="27"/>
      <c r="IUS1" s="27"/>
      <c r="IUT1" s="27"/>
      <c r="IUU1" s="27"/>
      <c r="IUV1" s="27"/>
      <c r="IUW1" s="27"/>
      <c r="IUX1" s="27"/>
      <c r="IUY1" s="27"/>
      <c r="IUZ1" s="27"/>
      <c r="IVA1" s="27"/>
      <c r="IVB1" s="27"/>
      <c r="IVC1" s="27"/>
      <c r="IVD1" s="27"/>
      <c r="IVE1" s="27"/>
      <c r="IVF1" s="27"/>
      <c r="IVG1" s="27"/>
      <c r="IVH1" s="27"/>
      <c r="IVI1" s="27"/>
      <c r="IVJ1" s="27"/>
      <c r="IVK1" s="27"/>
      <c r="IVL1" s="27"/>
      <c r="IVM1" s="27"/>
      <c r="IVN1" s="27"/>
      <c r="IVO1" s="27"/>
      <c r="IVP1" s="27"/>
      <c r="IVQ1" s="27"/>
      <c r="IVR1" s="27"/>
      <c r="IVS1" s="27"/>
      <c r="IVT1" s="27"/>
      <c r="IVU1" s="27"/>
      <c r="IVV1" s="27"/>
      <c r="IVW1" s="27"/>
      <c r="IVX1" s="27"/>
      <c r="IVY1" s="27"/>
      <c r="IVZ1" s="27"/>
      <c r="IWA1" s="27"/>
      <c r="IWB1" s="27"/>
      <c r="IWC1" s="27"/>
      <c r="IWD1" s="27"/>
      <c r="IWE1" s="27"/>
      <c r="IWF1" s="27"/>
      <c r="IWG1" s="27"/>
      <c r="IWH1" s="27"/>
      <c r="IWI1" s="27"/>
      <c r="IWJ1" s="27"/>
      <c r="IWK1" s="27"/>
      <c r="IWL1" s="27"/>
      <c r="IWM1" s="27"/>
      <c r="IWN1" s="27"/>
      <c r="IWO1" s="27"/>
      <c r="IWP1" s="27"/>
      <c r="IWQ1" s="27"/>
      <c r="IWR1" s="27"/>
      <c r="IWS1" s="27"/>
      <c r="IWT1" s="27"/>
      <c r="IWU1" s="27"/>
      <c r="IWV1" s="27"/>
      <c r="IWW1" s="27"/>
      <c r="IWX1" s="27"/>
      <c r="IWY1" s="27"/>
      <c r="IWZ1" s="27"/>
      <c r="IXA1" s="27"/>
      <c r="IXB1" s="27"/>
      <c r="IXC1" s="27"/>
      <c r="IXD1" s="27"/>
      <c r="IXE1" s="27"/>
      <c r="IXF1" s="27"/>
      <c r="IXG1" s="27"/>
      <c r="IXH1" s="27"/>
      <c r="IXI1" s="27"/>
      <c r="IXJ1" s="27"/>
      <c r="IXK1" s="27"/>
      <c r="IXL1" s="27"/>
      <c r="IXM1" s="27"/>
      <c r="IXN1" s="27"/>
      <c r="IXO1" s="27"/>
      <c r="IXP1" s="27"/>
      <c r="IXQ1" s="27"/>
      <c r="IXR1" s="27"/>
      <c r="IXS1" s="27"/>
      <c r="IXT1" s="27"/>
      <c r="IXU1" s="27"/>
      <c r="IXV1" s="27"/>
      <c r="IXW1" s="27"/>
      <c r="IXX1" s="27"/>
      <c r="IXY1" s="27"/>
      <c r="IXZ1" s="27"/>
      <c r="IYA1" s="27"/>
      <c r="IYB1" s="27"/>
      <c r="IYC1" s="27"/>
      <c r="IYD1" s="27"/>
      <c r="IYE1" s="27"/>
      <c r="IYF1" s="27"/>
      <c r="IYG1" s="27"/>
      <c r="IYH1" s="27"/>
      <c r="IYI1" s="27"/>
      <c r="IYJ1" s="27"/>
      <c r="IYK1" s="27"/>
      <c r="IYL1" s="27"/>
      <c r="IYM1" s="27"/>
      <c r="IYN1" s="27"/>
      <c r="IYO1" s="27"/>
      <c r="IYP1" s="27"/>
      <c r="IYQ1" s="27"/>
      <c r="IYR1" s="27"/>
      <c r="IYS1" s="27"/>
      <c r="IYT1" s="27"/>
      <c r="IYU1" s="27"/>
      <c r="IYV1" s="27"/>
      <c r="IYW1" s="27"/>
      <c r="IYX1" s="27"/>
      <c r="IYY1" s="27"/>
      <c r="IYZ1" s="27"/>
      <c r="IZA1" s="27"/>
      <c r="IZB1" s="27"/>
      <c r="IZC1" s="27"/>
      <c r="IZD1" s="27"/>
      <c r="IZE1" s="27"/>
      <c r="IZF1" s="27"/>
      <c r="IZG1" s="27"/>
      <c r="IZH1" s="27"/>
      <c r="IZI1" s="27"/>
      <c r="IZJ1" s="27"/>
      <c r="IZK1" s="27"/>
      <c r="IZL1" s="27"/>
      <c r="IZM1" s="27"/>
      <c r="IZN1" s="27"/>
      <c r="IZO1" s="27"/>
      <c r="IZP1" s="27"/>
      <c r="IZQ1" s="27"/>
      <c r="IZR1" s="27"/>
      <c r="IZS1" s="27"/>
      <c r="IZT1" s="27"/>
      <c r="IZU1" s="27"/>
      <c r="IZV1" s="27"/>
      <c r="IZW1" s="27"/>
      <c r="IZX1" s="27"/>
      <c r="IZY1" s="27"/>
      <c r="IZZ1" s="27"/>
      <c r="JAA1" s="27"/>
      <c r="JAB1" s="27"/>
      <c r="JAC1" s="27"/>
      <c r="JAD1" s="27"/>
      <c r="JAE1" s="27"/>
      <c r="JAF1" s="27"/>
      <c r="JAG1" s="27"/>
      <c r="JAH1" s="27"/>
      <c r="JAI1" s="27"/>
      <c r="JAJ1" s="27"/>
      <c r="JAK1" s="27"/>
      <c r="JAL1" s="27"/>
      <c r="JAM1" s="27"/>
      <c r="JAN1" s="27"/>
      <c r="JAO1" s="27"/>
      <c r="JAP1" s="27"/>
      <c r="JAQ1" s="27"/>
      <c r="JAR1" s="27"/>
      <c r="JAS1" s="27"/>
      <c r="JAT1" s="27"/>
      <c r="JAU1" s="27"/>
      <c r="JAV1" s="27"/>
      <c r="JAW1" s="27"/>
      <c r="JAX1" s="27"/>
      <c r="JAY1" s="27"/>
      <c r="JAZ1" s="27"/>
      <c r="JBA1" s="27"/>
      <c r="JBB1" s="27"/>
      <c r="JBC1" s="27"/>
      <c r="JBD1" s="27"/>
      <c r="JBE1" s="27"/>
      <c r="JBF1" s="27"/>
      <c r="JBG1" s="27"/>
      <c r="JBH1" s="27"/>
      <c r="JBI1" s="27"/>
      <c r="JBJ1" s="27"/>
      <c r="JBK1" s="27"/>
      <c r="JBL1" s="27"/>
      <c r="JBM1" s="27"/>
      <c r="JBN1" s="27"/>
      <c r="JBO1" s="27"/>
      <c r="JBP1" s="27"/>
      <c r="JBQ1" s="27"/>
      <c r="JBR1" s="27"/>
      <c r="JBS1" s="27"/>
      <c r="JBT1" s="27"/>
      <c r="JBU1" s="27"/>
      <c r="JBV1" s="27"/>
      <c r="JBW1" s="27"/>
      <c r="JBX1" s="27"/>
      <c r="JBY1" s="27"/>
      <c r="JBZ1" s="27"/>
      <c r="JCA1" s="27"/>
      <c r="JCB1" s="27"/>
      <c r="JCC1" s="27"/>
      <c r="JCD1" s="27"/>
      <c r="JCE1" s="27"/>
      <c r="JCF1" s="27"/>
      <c r="JCG1" s="27"/>
      <c r="JCH1" s="27"/>
      <c r="JCI1" s="27"/>
      <c r="JCJ1" s="27"/>
      <c r="JCK1" s="27"/>
      <c r="JCL1" s="27"/>
      <c r="JCM1" s="27"/>
      <c r="JCN1" s="27"/>
      <c r="JCO1" s="27"/>
      <c r="JCP1" s="27"/>
      <c r="JCQ1" s="27"/>
      <c r="JCR1" s="27"/>
      <c r="JCS1" s="27"/>
      <c r="JCT1" s="27"/>
      <c r="JCU1" s="27"/>
      <c r="JCV1" s="27"/>
      <c r="JCW1" s="27"/>
      <c r="JCX1" s="27"/>
      <c r="JCY1" s="27"/>
      <c r="JCZ1" s="27"/>
      <c r="JDA1" s="27"/>
      <c r="JDB1" s="27"/>
      <c r="JDC1" s="27"/>
      <c r="JDD1" s="27"/>
      <c r="JDE1" s="27"/>
      <c r="JDF1" s="27"/>
      <c r="JDG1" s="27"/>
      <c r="JDH1" s="27"/>
      <c r="JDI1" s="27"/>
      <c r="JDJ1" s="27"/>
      <c r="JDK1" s="27"/>
      <c r="JDL1" s="27"/>
      <c r="JDM1" s="27"/>
      <c r="JDN1" s="27"/>
      <c r="JDO1" s="27"/>
      <c r="JDP1" s="27"/>
      <c r="JDQ1" s="27"/>
      <c r="JDR1" s="27"/>
      <c r="JDS1" s="27"/>
      <c r="JDT1" s="27"/>
      <c r="JDU1" s="27"/>
      <c r="JDV1" s="27"/>
      <c r="JDW1" s="27"/>
      <c r="JDX1" s="27"/>
      <c r="JDY1" s="27"/>
      <c r="JDZ1" s="27"/>
      <c r="JEA1" s="27"/>
      <c r="JEB1" s="27"/>
      <c r="JEC1" s="27"/>
      <c r="JED1" s="27"/>
      <c r="JEE1" s="27"/>
      <c r="JEF1" s="27"/>
      <c r="JEG1" s="27"/>
      <c r="JEH1" s="27"/>
      <c r="JEI1" s="27"/>
      <c r="JEJ1" s="27"/>
      <c r="JEK1" s="27"/>
      <c r="JEL1" s="27"/>
      <c r="JEM1" s="27"/>
      <c r="JEN1" s="27"/>
      <c r="JEO1" s="27"/>
      <c r="JEP1" s="27"/>
      <c r="JEQ1" s="27"/>
      <c r="JER1" s="27"/>
      <c r="JES1" s="27"/>
      <c r="JET1" s="27"/>
      <c r="JEU1" s="27"/>
      <c r="JEV1" s="27"/>
      <c r="JEW1" s="27"/>
      <c r="JEX1" s="27"/>
      <c r="JEY1" s="27"/>
      <c r="JEZ1" s="27"/>
      <c r="JFA1" s="27"/>
      <c r="JFB1" s="27"/>
      <c r="JFC1" s="27"/>
      <c r="JFD1" s="27"/>
      <c r="JFE1" s="27"/>
      <c r="JFF1" s="27"/>
      <c r="JFG1" s="27"/>
      <c r="JFH1" s="27"/>
      <c r="JFI1" s="27"/>
      <c r="JFJ1" s="27"/>
      <c r="JFK1" s="27"/>
      <c r="JFL1" s="27"/>
      <c r="JFM1" s="27"/>
      <c r="JFN1" s="27"/>
      <c r="JFO1" s="27"/>
      <c r="JFP1" s="27"/>
      <c r="JFQ1" s="27"/>
      <c r="JFR1" s="27"/>
      <c r="JFS1" s="27"/>
      <c r="JFT1" s="27"/>
      <c r="JFU1" s="27"/>
      <c r="JFV1" s="27"/>
      <c r="JFW1" s="27"/>
      <c r="JFX1" s="27"/>
      <c r="JFY1" s="27"/>
      <c r="JFZ1" s="27"/>
      <c r="JGA1" s="27"/>
      <c r="JGB1" s="27"/>
      <c r="JGC1" s="27"/>
      <c r="JGD1" s="27"/>
      <c r="JGE1" s="27"/>
      <c r="JGF1" s="27"/>
      <c r="JGG1" s="27"/>
      <c r="JGH1" s="27"/>
      <c r="JGI1" s="27"/>
      <c r="JGJ1" s="27"/>
      <c r="JGK1" s="27"/>
      <c r="JGL1" s="27"/>
      <c r="JGM1" s="27"/>
      <c r="JGN1" s="27"/>
      <c r="JGO1" s="27"/>
      <c r="JGP1" s="27"/>
      <c r="JGQ1" s="27"/>
      <c r="JGR1" s="27"/>
      <c r="JGS1" s="27"/>
      <c r="JGT1" s="27"/>
      <c r="JGU1" s="27"/>
      <c r="JGV1" s="27"/>
      <c r="JGW1" s="27"/>
      <c r="JGX1" s="27"/>
      <c r="JGY1" s="27"/>
      <c r="JGZ1" s="27"/>
      <c r="JHA1" s="27"/>
      <c r="JHB1" s="27"/>
      <c r="JHC1" s="27"/>
      <c r="JHD1" s="27"/>
      <c r="JHE1" s="27"/>
      <c r="JHF1" s="27"/>
      <c r="JHG1" s="27"/>
      <c r="JHH1" s="27"/>
      <c r="JHI1" s="27"/>
      <c r="JHJ1" s="27"/>
      <c r="JHK1" s="27"/>
      <c r="JHL1" s="27"/>
      <c r="JHM1" s="27"/>
      <c r="JHN1" s="27"/>
      <c r="JHO1" s="27"/>
      <c r="JHP1" s="27"/>
      <c r="JHQ1" s="27"/>
      <c r="JHR1" s="27"/>
      <c r="JHS1" s="27"/>
      <c r="JHT1" s="27"/>
      <c r="JHU1" s="27"/>
      <c r="JHV1" s="27"/>
      <c r="JHW1" s="27"/>
      <c r="JHX1" s="27"/>
      <c r="JHY1" s="27"/>
      <c r="JHZ1" s="27"/>
      <c r="JIA1" s="27"/>
      <c r="JIB1" s="27"/>
      <c r="JIC1" s="27"/>
      <c r="JID1" s="27"/>
      <c r="JIE1" s="27"/>
      <c r="JIF1" s="27"/>
      <c r="JIG1" s="27"/>
      <c r="JIH1" s="27"/>
      <c r="JII1" s="27"/>
      <c r="JIJ1" s="27"/>
      <c r="JIK1" s="27"/>
      <c r="JIL1" s="27"/>
      <c r="JIM1" s="27"/>
      <c r="JIN1" s="27"/>
      <c r="JIO1" s="27"/>
      <c r="JIP1" s="27"/>
      <c r="JIQ1" s="27"/>
      <c r="JIR1" s="27"/>
      <c r="JIS1" s="27"/>
      <c r="JIT1" s="27"/>
      <c r="JIU1" s="27"/>
      <c r="JIV1" s="27"/>
      <c r="JIW1" s="27"/>
      <c r="JIX1" s="27"/>
      <c r="JIY1" s="27"/>
      <c r="JIZ1" s="27"/>
      <c r="JJA1" s="27"/>
      <c r="JJB1" s="27"/>
      <c r="JJC1" s="27"/>
      <c r="JJD1" s="27"/>
      <c r="JJE1" s="27"/>
      <c r="JJF1" s="27"/>
      <c r="JJG1" s="27"/>
      <c r="JJH1" s="27"/>
      <c r="JJI1" s="27"/>
      <c r="JJJ1" s="27"/>
      <c r="JJK1" s="27"/>
      <c r="JJL1" s="27"/>
      <c r="JJM1" s="27"/>
      <c r="JJN1" s="27"/>
      <c r="JJO1" s="27"/>
      <c r="JJP1" s="27"/>
      <c r="JJQ1" s="27"/>
      <c r="JJR1" s="27"/>
      <c r="JJS1" s="27"/>
      <c r="JJT1" s="27"/>
      <c r="JJU1" s="27"/>
      <c r="JJV1" s="27"/>
      <c r="JJW1" s="27"/>
      <c r="JJX1" s="27"/>
      <c r="JJY1" s="27"/>
      <c r="JJZ1" s="27"/>
      <c r="JKA1" s="27"/>
      <c r="JKB1" s="27"/>
      <c r="JKC1" s="27"/>
      <c r="JKD1" s="27"/>
      <c r="JKE1" s="27"/>
      <c r="JKF1" s="27"/>
      <c r="JKG1" s="27"/>
      <c r="JKH1" s="27"/>
      <c r="JKI1" s="27"/>
      <c r="JKJ1" s="27"/>
      <c r="JKK1" s="27"/>
      <c r="JKL1" s="27"/>
      <c r="JKM1" s="27"/>
      <c r="JKN1" s="27"/>
      <c r="JKO1" s="27"/>
      <c r="JKP1" s="27"/>
      <c r="JKQ1" s="27"/>
      <c r="JKR1" s="27"/>
      <c r="JKS1" s="27"/>
      <c r="JKT1" s="27"/>
      <c r="JKU1" s="27"/>
      <c r="JKV1" s="27"/>
      <c r="JKW1" s="27"/>
      <c r="JKX1" s="27"/>
      <c r="JKY1" s="27"/>
      <c r="JKZ1" s="27"/>
      <c r="JLA1" s="27"/>
      <c r="JLB1" s="27"/>
      <c r="JLC1" s="27"/>
      <c r="JLD1" s="27"/>
      <c r="JLE1" s="27"/>
      <c r="JLF1" s="27"/>
      <c r="JLG1" s="27"/>
      <c r="JLH1" s="27"/>
      <c r="JLI1" s="27"/>
      <c r="JLJ1" s="27"/>
      <c r="JLK1" s="27"/>
      <c r="JLL1" s="27"/>
      <c r="JLM1" s="27"/>
      <c r="JLN1" s="27"/>
      <c r="JLO1" s="27"/>
      <c r="JLP1" s="27"/>
      <c r="JLQ1" s="27"/>
      <c r="JLR1" s="27"/>
      <c r="JLS1" s="27"/>
      <c r="JLT1" s="27"/>
      <c r="JLU1" s="27"/>
      <c r="JLV1" s="27"/>
      <c r="JLW1" s="27"/>
      <c r="JLX1" s="27"/>
      <c r="JLY1" s="27"/>
      <c r="JLZ1" s="27"/>
      <c r="JMA1" s="27"/>
      <c r="JMB1" s="27"/>
      <c r="JMC1" s="27"/>
      <c r="JMD1" s="27"/>
      <c r="JME1" s="27"/>
      <c r="JMF1" s="27"/>
      <c r="JMG1" s="27"/>
      <c r="JMH1" s="27"/>
      <c r="JMI1" s="27"/>
      <c r="JMJ1" s="27"/>
      <c r="JMK1" s="27"/>
      <c r="JML1" s="27"/>
      <c r="JMM1" s="27"/>
      <c r="JMN1" s="27"/>
      <c r="JMO1" s="27"/>
      <c r="JMP1" s="27"/>
      <c r="JMQ1" s="27"/>
      <c r="JMR1" s="27"/>
      <c r="JMS1" s="27"/>
      <c r="JMT1" s="27"/>
      <c r="JMU1" s="27"/>
      <c r="JMV1" s="27"/>
      <c r="JMW1" s="27"/>
      <c r="JMX1" s="27"/>
      <c r="JMY1" s="27"/>
      <c r="JMZ1" s="27"/>
      <c r="JNA1" s="27"/>
      <c r="JNB1" s="27"/>
      <c r="JNC1" s="27"/>
      <c r="JND1" s="27"/>
      <c r="JNE1" s="27"/>
      <c r="JNF1" s="27"/>
      <c r="JNG1" s="27"/>
      <c r="JNH1" s="27"/>
      <c r="JNI1" s="27"/>
      <c r="JNJ1" s="27"/>
      <c r="JNK1" s="27"/>
      <c r="JNL1" s="27"/>
      <c r="JNM1" s="27"/>
      <c r="JNN1" s="27"/>
      <c r="JNO1" s="27"/>
      <c r="JNP1" s="27"/>
      <c r="JNQ1" s="27"/>
      <c r="JNR1" s="27"/>
      <c r="JNS1" s="27"/>
      <c r="JNT1" s="27"/>
      <c r="JNU1" s="27"/>
      <c r="JNV1" s="27"/>
      <c r="JNW1" s="27"/>
      <c r="JNX1" s="27"/>
      <c r="JNY1" s="27"/>
      <c r="JNZ1" s="27"/>
      <c r="JOA1" s="27"/>
      <c r="JOB1" s="27"/>
      <c r="JOC1" s="27"/>
      <c r="JOD1" s="27"/>
      <c r="JOE1" s="27"/>
      <c r="JOF1" s="27"/>
      <c r="JOG1" s="27"/>
      <c r="JOH1" s="27"/>
      <c r="JOI1" s="27"/>
      <c r="JOJ1" s="27"/>
      <c r="JOK1" s="27"/>
      <c r="JOL1" s="27"/>
      <c r="JOM1" s="27"/>
      <c r="JON1" s="27"/>
      <c r="JOO1" s="27"/>
      <c r="JOP1" s="27"/>
      <c r="JOQ1" s="27"/>
      <c r="JOR1" s="27"/>
      <c r="JOS1" s="27"/>
      <c r="JOT1" s="27"/>
      <c r="JOU1" s="27"/>
      <c r="JOV1" s="27"/>
      <c r="JOW1" s="27"/>
      <c r="JOX1" s="27"/>
      <c r="JOY1" s="27"/>
      <c r="JOZ1" s="27"/>
      <c r="JPA1" s="27"/>
      <c r="JPB1" s="27"/>
      <c r="JPC1" s="27"/>
      <c r="JPD1" s="27"/>
      <c r="JPE1" s="27"/>
      <c r="JPF1" s="27"/>
      <c r="JPG1" s="27"/>
      <c r="JPH1" s="27"/>
      <c r="JPI1" s="27"/>
      <c r="JPJ1" s="27"/>
      <c r="JPK1" s="27"/>
      <c r="JPL1" s="27"/>
      <c r="JPM1" s="27"/>
      <c r="JPN1" s="27"/>
      <c r="JPO1" s="27"/>
      <c r="JPP1" s="27"/>
      <c r="JPQ1" s="27"/>
      <c r="JPR1" s="27"/>
      <c r="JPS1" s="27"/>
      <c r="JPT1" s="27"/>
      <c r="JPU1" s="27"/>
      <c r="JPV1" s="27"/>
      <c r="JPW1" s="27"/>
      <c r="JPX1" s="27"/>
      <c r="JPY1" s="27"/>
      <c r="JPZ1" s="27"/>
      <c r="JQA1" s="27"/>
      <c r="JQB1" s="27"/>
      <c r="JQC1" s="27"/>
      <c r="JQD1" s="27"/>
      <c r="JQE1" s="27"/>
      <c r="JQF1" s="27"/>
      <c r="JQG1" s="27"/>
      <c r="JQH1" s="27"/>
      <c r="JQI1" s="27"/>
      <c r="JQJ1" s="27"/>
      <c r="JQK1" s="27"/>
      <c r="JQL1" s="27"/>
      <c r="JQM1" s="27"/>
      <c r="JQN1" s="27"/>
      <c r="JQO1" s="27"/>
      <c r="JQP1" s="27"/>
      <c r="JQQ1" s="27"/>
      <c r="JQR1" s="27"/>
      <c r="JQS1" s="27"/>
      <c r="JQT1" s="27"/>
      <c r="JQU1" s="27"/>
      <c r="JQV1" s="27"/>
      <c r="JQW1" s="27"/>
      <c r="JQX1" s="27"/>
      <c r="JQY1" s="27"/>
      <c r="JQZ1" s="27"/>
      <c r="JRA1" s="27"/>
      <c r="JRB1" s="27"/>
      <c r="JRC1" s="27"/>
      <c r="JRD1" s="27"/>
      <c r="JRE1" s="27"/>
      <c r="JRF1" s="27"/>
      <c r="JRG1" s="27"/>
      <c r="JRH1" s="27"/>
      <c r="JRI1" s="27"/>
      <c r="JRJ1" s="27"/>
      <c r="JRK1" s="27"/>
      <c r="JRL1" s="27"/>
      <c r="JRM1" s="27"/>
      <c r="JRN1" s="27"/>
      <c r="JRO1" s="27"/>
      <c r="JRP1" s="27"/>
      <c r="JRQ1" s="27"/>
      <c r="JRR1" s="27"/>
      <c r="JRS1" s="27"/>
      <c r="JRT1" s="27"/>
      <c r="JRU1" s="27"/>
      <c r="JRV1" s="27"/>
      <c r="JRW1" s="27"/>
      <c r="JRX1" s="27"/>
      <c r="JRY1" s="27"/>
      <c r="JRZ1" s="27"/>
      <c r="JSA1" s="27"/>
      <c r="JSB1" s="27"/>
      <c r="JSC1" s="27"/>
      <c r="JSD1" s="27"/>
      <c r="JSE1" s="27"/>
      <c r="JSF1" s="27"/>
      <c r="JSG1" s="27"/>
      <c r="JSH1" s="27"/>
      <c r="JSI1" s="27"/>
      <c r="JSJ1" s="27"/>
      <c r="JSK1" s="27"/>
      <c r="JSL1" s="27"/>
      <c r="JSM1" s="27"/>
      <c r="JSN1" s="27"/>
      <c r="JSO1" s="27"/>
      <c r="JSP1" s="27"/>
      <c r="JSQ1" s="27"/>
      <c r="JSR1" s="27"/>
      <c r="JSS1" s="27"/>
      <c r="JST1" s="27"/>
      <c r="JSU1" s="27"/>
      <c r="JSV1" s="27"/>
      <c r="JSW1" s="27"/>
      <c r="JSX1" s="27"/>
      <c r="JSY1" s="27"/>
      <c r="JSZ1" s="27"/>
      <c r="JTA1" s="27"/>
      <c r="JTB1" s="27"/>
      <c r="JTC1" s="27"/>
      <c r="JTD1" s="27"/>
      <c r="JTE1" s="27"/>
      <c r="JTF1" s="27"/>
      <c r="JTG1" s="27"/>
      <c r="JTH1" s="27"/>
      <c r="JTI1" s="27"/>
      <c r="JTJ1" s="27"/>
      <c r="JTK1" s="27"/>
      <c r="JTL1" s="27"/>
      <c r="JTM1" s="27"/>
      <c r="JTN1" s="27"/>
      <c r="JTO1" s="27"/>
      <c r="JTP1" s="27"/>
      <c r="JTQ1" s="27"/>
      <c r="JTR1" s="27"/>
      <c r="JTS1" s="27"/>
      <c r="JTT1" s="27"/>
      <c r="JTU1" s="27"/>
      <c r="JTV1" s="27"/>
      <c r="JTW1" s="27"/>
      <c r="JTX1" s="27"/>
      <c r="JTY1" s="27"/>
      <c r="JTZ1" s="27"/>
      <c r="JUA1" s="27"/>
      <c r="JUB1" s="27"/>
      <c r="JUC1" s="27"/>
      <c r="JUD1" s="27"/>
      <c r="JUE1" s="27"/>
      <c r="JUF1" s="27"/>
      <c r="JUG1" s="27"/>
      <c r="JUH1" s="27"/>
      <c r="JUI1" s="27"/>
      <c r="JUJ1" s="27"/>
      <c r="JUK1" s="27"/>
      <c r="JUL1" s="27"/>
      <c r="JUM1" s="27"/>
      <c r="JUN1" s="27"/>
      <c r="JUO1" s="27"/>
      <c r="JUP1" s="27"/>
      <c r="JUQ1" s="27"/>
      <c r="JUR1" s="27"/>
      <c r="JUS1" s="27"/>
      <c r="JUT1" s="27"/>
      <c r="JUU1" s="27"/>
      <c r="JUV1" s="27"/>
      <c r="JUW1" s="27"/>
      <c r="JUX1" s="27"/>
      <c r="JUY1" s="27"/>
      <c r="JUZ1" s="27"/>
      <c r="JVA1" s="27"/>
      <c r="JVB1" s="27"/>
      <c r="JVC1" s="27"/>
      <c r="JVD1" s="27"/>
      <c r="JVE1" s="27"/>
      <c r="JVF1" s="27"/>
      <c r="JVG1" s="27"/>
      <c r="JVH1" s="27"/>
      <c r="JVI1" s="27"/>
      <c r="JVJ1" s="27"/>
      <c r="JVK1" s="27"/>
      <c r="JVL1" s="27"/>
      <c r="JVM1" s="27"/>
      <c r="JVN1" s="27"/>
      <c r="JVO1" s="27"/>
      <c r="JVP1" s="27"/>
      <c r="JVQ1" s="27"/>
      <c r="JVR1" s="27"/>
      <c r="JVS1" s="27"/>
      <c r="JVT1" s="27"/>
      <c r="JVU1" s="27"/>
      <c r="JVV1" s="27"/>
      <c r="JVW1" s="27"/>
      <c r="JVX1" s="27"/>
      <c r="JVY1" s="27"/>
      <c r="JVZ1" s="27"/>
      <c r="JWA1" s="27"/>
      <c r="JWB1" s="27"/>
      <c r="JWC1" s="27"/>
      <c r="JWD1" s="27"/>
      <c r="JWE1" s="27"/>
      <c r="JWF1" s="27"/>
      <c r="JWG1" s="27"/>
      <c r="JWH1" s="27"/>
      <c r="JWI1" s="27"/>
      <c r="JWJ1" s="27"/>
      <c r="JWK1" s="27"/>
      <c r="JWL1" s="27"/>
      <c r="JWM1" s="27"/>
      <c r="JWN1" s="27"/>
      <c r="JWO1" s="27"/>
      <c r="JWP1" s="27"/>
      <c r="JWQ1" s="27"/>
      <c r="JWR1" s="27"/>
      <c r="JWS1" s="27"/>
      <c r="JWT1" s="27"/>
      <c r="JWU1" s="27"/>
      <c r="JWV1" s="27"/>
      <c r="JWW1" s="27"/>
      <c r="JWX1" s="27"/>
      <c r="JWY1" s="27"/>
      <c r="JWZ1" s="27"/>
      <c r="JXA1" s="27"/>
      <c r="JXB1" s="27"/>
      <c r="JXC1" s="27"/>
      <c r="JXD1" s="27"/>
      <c r="JXE1" s="27"/>
      <c r="JXF1" s="27"/>
      <c r="JXG1" s="27"/>
      <c r="JXH1" s="27"/>
      <c r="JXI1" s="27"/>
      <c r="JXJ1" s="27"/>
      <c r="JXK1" s="27"/>
      <c r="JXL1" s="27"/>
      <c r="JXM1" s="27"/>
      <c r="JXN1" s="27"/>
      <c r="JXO1" s="27"/>
      <c r="JXP1" s="27"/>
      <c r="JXQ1" s="27"/>
      <c r="JXR1" s="27"/>
      <c r="JXS1" s="27"/>
      <c r="JXT1" s="27"/>
      <c r="JXU1" s="27"/>
      <c r="JXV1" s="27"/>
      <c r="JXW1" s="27"/>
      <c r="JXX1" s="27"/>
      <c r="JXY1" s="27"/>
      <c r="JXZ1" s="27"/>
      <c r="JYA1" s="27"/>
      <c r="JYB1" s="27"/>
      <c r="JYC1" s="27"/>
      <c r="JYD1" s="27"/>
      <c r="JYE1" s="27"/>
      <c r="JYF1" s="27"/>
      <c r="JYG1" s="27"/>
      <c r="JYH1" s="27"/>
      <c r="JYI1" s="27"/>
      <c r="JYJ1" s="27"/>
      <c r="JYK1" s="27"/>
      <c r="JYL1" s="27"/>
      <c r="JYM1" s="27"/>
      <c r="JYN1" s="27"/>
      <c r="JYO1" s="27"/>
      <c r="JYP1" s="27"/>
      <c r="JYQ1" s="27"/>
      <c r="JYR1" s="27"/>
      <c r="JYS1" s="27"/>
      <c r="JYT1" s="27"/>
      <c r="JYU1" s="27"/>
      <c r="JYV1" s="27"/>
      <c r="JYW1" s="27"/>
      <c r="JYX1" s="27"/>
      <c r="JYY1" s="27"/>
      <c r="JYZ1" s="27"/>
      <c r="JZA1" s="27"/>
      <c r="JZB1" s="27"/>
      <c r="JZC1" s="27"/>
      <c r="JZD1" s="27"/>
      <c r="JZE1" s="27"/>
      <c r="JZF1" s="27"/>
      <c r="JZG1" s="27"/>
      <c r="JZH1" s="27"/>
      <c r="JZI1" s="27"/>
      <c r="JZJ1" s="27"/>
      <c r="JZK1" s="27"/>
      <c r="JZL1" s="27"/>
      <c r="JZM1" s="27"/>
      <c r="JZN1" s="27"/>
      <c r="JZO1" s="27"/>
      <c r="JZP1" s="27"/>
      <c r="JZQ1" s="27"/>
      <c r="JZR1" s="27"/>
      <c r="JZS1" s="27"/>
      <c r="JZT1" s="27"/>
      <c r="JZU1" s="27"/>
      <c r="JZV1" s="27"/>
      <c r="JZW1" s="27"/>
      <c r="JZX1" s="27"/>
      <c r="JZY1" s="27"/>
      <c r="JZZ1" s="27"/>
      <c r="KAA1" s="27"/>
      <c r="KAB1" s="27"/>
      <c r="KAC1" s="27"/>
      <c r="KAD1" s="27"/>
      <c r="KAE1" s="27"/>
      <c r="KAF1" s="27"/>
      <c r="KAG1" s="27"/>
      <c r="KAH1" s="27"/>
      <c r="KAI1" s="27"/>
      <c r="KAJ1" s="27"/>
      <c r="KAK1" s="27"/>
      <c r="KAL1" s="27"/>
      <c r="KAM1" s="27"/>
      <c r="KAN1" s="27"/>
      <c r="KAO1" s="27"/>
      <c r="KAP1" s="27"/>
      <c r="KAQ1" s="27"/>
      <c r="KAR1" s="27"/>
      <c r="KAS1" s="27"/>
      <c r="KAT1" s="27"/>
      <c r="KAU1" s="27"/>
      <c r="KAV1" s="27"/>
      <c r="KAW1" s="27"/>
      <c r="KAX1" s="27"/>
      <c r="KAY1" s="27"/>
      <c r="KAZ1" s="27"/>
      <c r="KBA1" s="27"/>
      <c r="KBB1" s="27"/>
      <c r="KBC1" s="27"/>
      <c r="KBD1" s="27"/>
      <c r="KBE1" s="27"/>
      <c r="KBF1" s="27"/>
      <c r="KBG1" s="27"/>
      <c r="KBH1" s="27"/>
      <c r="KBI1" s="27"/>
      <c r="KBJ1" s="27"/>
      <c r="KBK1" s="27"/>
      <c r="KBL1" s="27"/>
      <c r="KBM1" s="27"/>
      <c r="KBN1" s="27"/>
      <c r="KBO1" s="27"/>
      <c r="KBP1" s="27"/>
      <c r="KBQ1" s="27"/>
      <c r="KBR1" s="27"/>
      <c r="KBS1" s="27"/>
      <c r="KBT1" s="27"/>
      <c r="KBU1" s="27"/>
      <c r="KBV1" s="27"/>
      <c r="KBW1" s="27"/>
      <c r="KBX1" s="27"/>
      <c r="KBY1" s="27"/>
      <c r="KBZ1" s="27"/>
      <c r="KCA1" s="27"/>
      <c r="KCB1" s="27"/>
      <c r="KCC1" s="27"/>
      <c r="KCD1" s="27"/>
      <c r="KCE1" s="27"/>
      <c r="KCF1" s="27"/>
      <c r="KCG1" s="27"/>
      <c r="KCH1" s="27"/>
      <c r="KCI1" s="27"/>
      <c r="KCJ1" s="27"/>
      <c r="KCK1" s="27"/>
      <c r="KCL1" s="27"/>
      <c r="KCM1" s="27"/>
      <c r="KCN1" s="27"/>
      <c r="KCO1" s="27"/>
      <c r="KCP1" s="27"/>
      <c r="KCQ1" s="27"/>
      <c r="KCR1" s="27"/>
      <c r="KCS1" s="27"/>
      <c r="KCT1" s="27"/>
      <c r="KCU1" s="27"/>
      <c r="KCV1" s="27"/>
      <c r="KCW1" s="27"/>
      <c r="KCX1" s="27"/>
      <c r="KCY1" s="27"/>
      <c r="KCZ1" s="27"/>
      <c r="KDA1" s="27"/>
      <c r="KDB1" s="27"/>
      <c r="KDC1" s="27"/>
      <c r="KDD1" s="27"/>
      <c r="KDE1" s="27"/>
      <c r="KDF1" s="27"/>
      <c r="KDG1" s="27"/>
      <c r="KDH1" s="27"/>
      <c r="KDI1" s="27"/>
      <c r="KDJ1" s="27"/>
      <c r="KDK1" s="27"/>
      <c r="KDL1" s="27"/>
      <c r="KDM1" s="27"/>
      <c r="KDN1" s="27"/>
      <c r="KDO1" s="27"/>
      <c r="KDP1" s="27"/>
      <c r="KDQ1" s="27"/>
      <c r="KDR1" s="27"/>
      <c r="KDS1" s="27"/>
      <c r="KDT1" s="27"/>
      <c r="KDU1" s="27"/>
      <c r="KDV1" s="27"/>
      <c r="KDW1" s="27"/>
      <c r="KDX1" s="27"/>
      <c r="KDY1" s="27"/>
      <c r="KDZ1" s="27"/>
      <c r="KEA1" s="27"/>
      <c r="KEB1" s="27"/>
      <c r="KEC1" s="27"/>
      <c r="KED1" s="27"/>
      <c r="KEE1" s="27"/>
      <c r="KEF1" s="27"/>
      <c r="KEG1" s="27"/>
      <c r="KEH1" s="27"/>
      <c r="KEI1" s="27"/>
      <c r="KEJ1" s="27"/>
      <c r="KEK1" s="27"/>
      <c r="KEL1" s="27"/>
      <c r="KEM1" s="27"/>
      <c r="KEN1" s="27"/>
      <c r="KEO1" s="27"/>
      <c r="KEP1" s="27"/>
      <c r="KEQ1" s="27"/>
      <c r="KER1" s="27"/>
      <c r="KES1" s="27"/>
      <c r="KET1" s="27"/>
      <c r="KEU1" s="27"/>
      <c r="KEV1" s="27"/>
      <c r="KEW1" s="27"/>
      <c r="KEX1" s="27"/>
      <c r="KEY1" s="27"/>
      <c r="KEZ1" s="27"/>
      <c r="KFA1" s="27"/>
      <c r="KFB1" s="27"/>
      <c r="KFC1" s="27"/>
      <c r="KFD1" s="27"/>
      <c r="KFE1" s="27"/>
      <c r="KFF1" s="27"/>
      <c r="KFG1" s="27"/>
      <c r="KFH1" s="27"/>
      <c r="KFI1" s="27"/>
      <c r="KFJ1" s="27"/>
      <c r="KFK1" s="27"/>
      <c r="KFL1" s="27"/>
      <c r="KFM1" s="27"/>
      <c r="KFN1" s="27"/>
      <c r="KFO1" s="27"/>
      <c r="KFP1" s="27"/>
      <c r="KFQ1" s="27"/>
      <c r="KFR1" s="27"/>
      <c r="KFS1" s="27"/>
      <c r="KFT1" s="27"/>
      <c r="KFU1" s="27"/>
      <c r="KFV1" s="27"/>
      <c r="KFW1" s="27"/>
      <c r="KFX1" s="27"/>
      <c r="KFY1" s="27"/>
      <c r="KFZ1" s="27"/>
      <c r="KGA1" s="27"/>
      <c r="KGB1" s="27"/>
      <c r="KGC1" s="27"/>
      <c r="KGD1" s="27"/>
      <c r="KGE1" s="27"/>
      <c r="KGF1" s="27"/>
      <c r="KGG1" s="27"/>
      <c r="KGH1" s="27"/>
      <c r="KGI1" s="27"/>
      <c r="KGJ1" s="27"/>
      <c r="KGK1" s="27"/>
      <c r="KGL1" s="27"/>
      <c r="KGM1" s="27"/>
      <c r="KGN1" s="27"/>
      <c r="KGO1" s="27"/>
      <c r="KGP1" s="27"/>
      <c r="KGQ1" s="27"/>
      <c r="KGR1" s="27"/>
      <c r="KGS1" s="27"/>
      <c r="KGT1" s="27"/>
      <c r="KGU1" s="27"/>
      <c r="KGV1" s="27"/>
      <c r="KGW1" s="27"/>
      <c r="KGX1" s="27"/>
      <c r="KGY1" s="27"/>
      <c r="KGZ1" s="27"/>
      <c r="KHA1" s="27"/>
      <c r="KHB1" s="27"/>
      <c r="KHC1" s="27"/>
      <c r="KHD1" s="27"/>
      <c r="KHE1" s="27"/>
      <c r="KHF1" s="27"/>
      <c r="KHG1" s="27"/>
      <c r="KHH1" s="27"/>
      <c r="KHI1" s="27"/>
      <c r="KHJ1" s="27"/>
      <c r="KHK1" s="27"/>
      <c r="KHL1" s="27"/>
      <c r="KHM1" s="27"/>
      <c r="KHN1" s="27"/>
      <c r="KHO1" s="27"/>
      <c r="KHP1" s="27"/>
      <c r="KHQ1" s="27"/>
      <c r="KHR1" s="27"/>
      <c r="KHS1" s="27"/>
      <c r="KHT1" s="27"/>
      <c r="KHU1" s="27"/>
      <c r="KHV1" s="27"/>
      <c r="KHW1" s="27"/>
      <c r="KHX1" s="27"/>
      <c r="KHY1" s="27"/>
      <c r="KHZ1" s="27"/>
      <c r="KIA1" s="27"/>
      <c r="KIB1" s="27"/>
      <c r="KIC1" s="27"/>
      <c r="KID1" s="27"/>
      <c r="KIE1" s="27"/>
      <c r="KIF1" s="27"/>
      <c r="KIG1" s="27"/>
      <c r="KIH1" s="27"/>
      <c r="KII1" s="27"/>
      <c r="KIJ1" s="27"/>
      <c r="KIK1" s="27"/>
      <c r="KIL1" s="27"/>
      <c r="KIM1" s="27"/>
      <c r="KIN1" s="27"/>
      <c r="KIO1" s="27"/>
      <c r="KIP1" s="27"/>
      <c r="KIQ1" s="27"/>
      <c r="KIR1" s="27"/>
      <c r="KIS1" s="27"/>
      <c r="KIT1" s="27"/>
      <c r="KIU1" s="27"/>
      <c r="KIV1" s="27"/>
      <c r="KIW1" s="27"/>
      <c r="KIX1" s="27"/>
      <c r="KIY1" s="27"/>
      <c r="KIZ1" s="27"/>
      <c r="KJA1" s="27"/>
      <c r="KJB1" s="27"/>
      <c r="KJC1" s="27"/>
      <c r="KJD1" s="27"/>
      <c r="KJE1" s="27"/>
      <c r="KJF1" s="27"/>
      <c r="KJG1" s="27"/>
      <c r="KJH1" s="27"/>
      <c r="KJI1" s="27"/>
      <c r="KJJ1" s="27"/>
      <c r="KJK1" s="27"/>
      <c r="KJL1" s="27"/>
      <c r="KJM1" s="27"/>
      <c r="KJN1" s="27"/>
      <c r="KJO1" s="27"/>
      <c r="KJP1" s="27"/>
      <c r="KJQ1" s="27"/>
      <c r="KJR1" s="27"/>
      <c r="KJS1" s="27"/>
      <c r="KJT1" s="27"/>
      <c r="KJU1" s="27"/>
      <c r="KJV1" s="27"/>
      <c r="KJW1" s="27"/>
      <c r="KJX1" s="27"/>
      <c r="KJY1" s="27"/>
      <c r="KJZ1" s="27"/>
      <c r="KKA1" s="27"/>
      <c r="KKB1" s="27"/>
      <c r="KKC1" s="27"/>
      <c r="KKD1" s="27"/>
      <c r="KKE1" s="27"/>
      <c r="KKF1" s="27"/>
      <c r="KKG1" s="27"/>
      <c r="KKH1" s="27"/>
      <c r="KKI1" s="27"/>
      <c r="KKJ1" s="27"/>
      <c r="KKK1" s="27"/>
      <c r="KKL1" s="27"/>
      <c r="KKM1" s="27"/>
      <c r="KKN1" s="27"/>
      <c r="KKO1" s="27"/>
      <c r="KKP1" s="27"/>
      <c r="KKQ1" s="27"/>
      <c r="KKR1" s="27"/>
      <c r="KKS1" s="27"/>
      <c r="KKT1" s="27"/>
      <c r="KKU1" s="27"/>
      <c r="KKV1" s="27"/>
      <c r="KKW1" s="27"/>
      <c r="KKX1" s="27"/>
      <c r="KKY1" s="27"/>
      <c r="KKZ1" s="27"/>
      <c r="KLA1" s="27"/>
      <c r="KLB1" s="27"/>
      <c r="KLC1" s="27"/>
      <c r="KLD1" s="27"/>
      <c r="KLE1" s="27"/>
      <c r="KLF1" s="27"/>
      <c r="KLG1" s="27"/>
      <c r="KLH1" s="27"/>
      <c r="KLI1" s="27"/>
      <c r="KLJ1" s="27"/>
      <c r="KLK1" s="27"/>
      <c r="KLL1" s="27"/>
      <c r="KLM1" s="27"/>
      <c r="KLN1" s="27"/>
      <c r="KLO1" s="27"/>
      <c r="KLP1" s="27"/>
      <c r="KLQ1" s="27"/>
      <c r="KLR1" s="27"/>
      <c r="KLS1" s="27"/>
      <c r="KLT1" s="27"/>
      <c r="KLU1" s="27"/>
      <c r="KLV1" s="27"/>
      <c r="KLW1" s="27"/>
      <c r="KLX1" s="27"/>
      <c r="KLY1" s="27"/>
      <c r="KLZ1" s="27"/>
      <c r="KMA1" s="27"/>
      <c r="KMB1" s="27"/>
      <c r="KMC1" s="27"/>
      <c r="KMD1" s="27"/>
      <c r="KME1" s="27"/>
      <c r="KMF1" s="27"/>
      <c r="KMG1" s="27"/>
      <c r="KMH1" s="27"/>
      <c r="KMI1" s="27"/>
      <c r="KMJ1" s="27"/>
      <c r="KMK1" s="27"/>
      <c r="KML1" s="27"/>
      <c r="KMM1" s="27"/>
      <c r="KMN1" s="27"/>
      <c r="KMO1" s="27"/>
      <c r="KMP1" s="27"/>
      <c r="KMQ1" s="27"/>
      <c r="KMR1" s="27"/>
      <c r="KMS1" s="27"/>
      <c r="KMT1" s="27"/>
      <c r="KMU1" s="27"/>
      <c r="KMV1" s="27"/>
      <c r="KMW1" s="27"/>
      <c r="KMX1" s="27"/>
      <c r="KMY1" s="27"/>
      <c r="KMZ1" s="27"/>
      <c r="KNA1" s="27"/>
      <c r="KNB1" s="27"/>
      <c r="KNC1" s="27"/>
      <c r="KND1" s="27"/>
      <c r="KNE1" s="27"/>
      <c r="KNF1" s="27"/>
      <c r="KNG1" s="27"/>
      <c r="KNH1" s="27"/>
      <c r="KNI1" s="27"/>
      <c r="KNJ1" s="27"/>
      <c r="KNK1" s="27"/>
      <c r="KNL1" s="27"/>
      <c r="KNM1" s="27"/>
      <c r="KNN1" s="27"/>
      <c r="KNO1" s="27"/>
      <c r="KNP1" s="27"/>
      <c r="KNQ1" s="27"/>
      <c r="KNR1" s="27"/>
      <c r="KNS1" s="27"/>
      <c r="KNT1" s="27"/>
      <c r="KNU1" s="27"/>
      <c r="KNV1" s="27"/>
      <c r="KNW1" s="27"/>
      <c r="KNX1" s="27"/>
      <c r="KNY1" s="27"/>
      <c r="KNZ1" s="27"/>
      <c r="KOA1" s="27"/>
      <c r="KOB1" s="27"/>
      <c r="KOC1" s="27"/>
      <c r="KOD1" s="27"/>
      <c r="KOE1" s="27"/>
      <c r="KOF1" s="27"/>
      <c r="KOG1" s="27"/>
      <c r="KOH1" s="27"/>
      <c r="KOI1" s="27"/>
      <c r="KOJ1" s="27"/>
      <c r="KOK1" s="27"/>
      <c r="KOL1" s="27"/>
      <c r="KOM1" s="27"/>
      <c r="KON1" s="27"/>
      <c r="KOO1" s="27"/>
      <c r="KOP1" s="27"/>
      <c r="KOQ1" s="27"/>
      <c r="KOR1" s="27"/>
      <c r="KOS1" s="27"/>
      <c r="KOT1" s="27"/>
      <c r="KOU1" s="27"/>
      <c r="KOV1" s="27"/>
      <c r="KOW1" s="27"/>
      <c r="KOX1" s="27"/>
      <c r="KOY1" s="27"/>
      <c r="KOZ1" s="27"/>
      <c r="KPA1" s="27"/>
      <c r="KPB1" s="27"/>
      <c r="KPC1" s="27"/>
      <c r="KPD1" s="27"/>
      <c r="KPE1" s="27"/>
      <c r="KPF1" s="27"/>
      <c r="KPG1" s="27"/>
      <c r="KPH1" s="27"/>
      <c r="KPI1" s="27"/>
      <c r="KPJ1" s="27"/>
      <c r="KPK1" s="27"/>
      <c r="KPL1" s="27"/>
      <c r="KPM1" s="27"/>
      <c r="KPN1" s="27"/>
      <c r="KPO1" s="27"/>
      <c r="KPP1" s="27"/>
      <c r="KPQ1" s="27"/>
      <c r="KPR1" s="27"/>
      <c r="KPS1" s="27"/>
      <c r="KPT1" s="27"/>
      <c r="KPU1" s="27"/>
      <c r="KPV1" s="27"/>
      <c r="KPW1" s="27"/>
      <c r="KPX1" s="27"/>
      <c r="KPY1" s="27"/>
      <c r="KPZ1" s="27"/>
      <c r="KQA1" s="27"/>
      <c r="KQB1" s="27"/>
      <c r="KQC1" s="27"/>
      <c r="KQD1" s="27"/>
      <c r="KQE1" s="27"/>
      <c r="KQF1" s="27"/>
      <c r="KQG1" s="27"/>
      <c r="KQH1" s="27"/>
      <c r="KQI1" s="27"/>
      <c r="KQJ1" s="27"/>
      <c r="KQK1" s="27"/>
      <c r="KQL1" s="27"/>
      <c r="KQM1" s="27"/>
      <c r="KQN1" s="27"/>
      <c r="KQO1" s="27"/>
      <c r="KQP1" s="27"/>
      <c r="KQQ1" s="27"/>
      <c r="KQR1" s="27"/>
      <c r="KQS1" s="27"/>
      <c r="KQT1" s="27"/>
      <c r="KQU1" s="27"/>
      <c r="KQV1" s="27"/>
      <c r="KQW1" s="27"/>
      <c r="KQX1" s="27"/>
      <c r="KQY1" s="27"/>
      <c r="KQZ1" s="27"/>
      <c r="KRA1" s="27"/>
      <c r="KRB1" s="27"/>
      <c r="KRC1" s="27"/>
      <c r="KRD1" s="27"/>
      <c r="KRE1" s="27"/>
      <c r="KRF1" s="27"/>
      <c r="KRG1" s="27"/>
      <c r="KRH1" s="27"/>
      <c r="KRI1" s="27"/>
      <c r="KRJ1" s="27"/>
      <c r="KRK1" s="27"/>
      <c r="KRL1" s="27"/>
      <c r="KRM1" s="27"/>
      <c r="KRN1" s="27"/>
      <c r="KRO1" s="27"/>
      <c r="KRP1" s="27"/>
      <c r="KRQ1" s="27"/>
      <c r="KRR1" s="27"/>
      <c r="KRS1" s="27"/>
      <c r="KRT1" s="27"/>
      <c r="KRU1" s="27"/>
      <c r="KRV1" s="27"/>
      <c r="KRW1" s="27"/>
      <c r="KRX1" s="27"/>
      <c r="KRY1" s="27"/>
      <c r="KRZ1" s="27"/>
      <c r="KSA1" s="27"/>
      <c r="KSB1" s="27"/>
      <c r="KSC1" s="27"/>
      <c r="KSD1" s="27"/>
      <c r="KSE1" s="27"/>
      <c r="KSF1" s="27"/>
      <c r="KSG1" s="27"/>
      <c r="KSH1" s="27"/>
      <c r="KSI1" s="27"/>
      <c r="KSJ1" s="27"/>
      <c r="KSK1" s="27"/>
      <c r="KSL1" s="27"/>
      <c r="KSM1" s="27"/>
      <c r="KSN1" s="27"/>
      <c r="KSO1" s="27"/>
      <c r="KSP1" s="27"/>
      <c r="KSQ1" s="27"/>
      <c r="KSR1" s="27"/>
      <c r="KSS1" s="27"/>
      <c r="KST1" s="27"/>
      <c r="KSU1" s="27"/>
      <c r="KSV1" s="27"/>
      <c r="KSW1" s="27"/>
      <c r="KSX1" s="27"/>
      <c r="KSY1" s="27"/>
      <c r="KSZ1" s="27"/>
      <c r="KTA1" s="27"/>
      <c r="KTB1" s="27"/>
      <c r="KTC1" s="27"/>
      <c r="KTD1" s="27"/>
      <c r="KTE1" s="27"/>
      <c r="KTF1" s="27"/>
      <c r="KTG1" s="27"/>
      <c r="KTH1" s="27"/>
      <c r="KTI1" s="27"/>
      <c r="KTJ1" s="27"/>
      <c r="KTK1" s="27"/>
      <c r="KTL1" s="27"/>
      <c r="KTM1" s="27"/>
      <c r="KTN1" s="27"/>
      <c r="KTO1" s="27"/>
      <c r="KTP1" s="27"/>
      <c r="KTQ1" s="27"/>
      <c r="KTR1" s="27"/>
      <c r="KTS1" s="27"/>
      <c r="KTT1" s="27"/>
      <c r="KTU1" s="27"/>
      <c r="KTV1" s="27"/>
      <c r="KTW1" s="27"/>
      <c r="KTX1" s="27"/>
      <c r="KTY1" s="27"/>
      <c r="KTZ1" s="27"/>
      <c r="KUA1" s="27"/>
      <c r="KUB1" s="27"/>
      <c r="KUC1" s="27"/>
      <c r="KUD1" s="27"/>
      <c r="KUE1" s="27"/>
      <c r="KUF1" s="27"/>
      <c r="KUG1" s="27"/>
      <c r="KUH1" s="27"/>
      <c r="KUI1" s="27"/>
      <c r="KUJ1" s="27"/>
      <c r="KUK1" s="27"/>
      <c r="KUL1" s="27"/>
      <c r="KUM1" s="27"/>
      <c r="KUN1" s="27"/>
      <c r="KUO1" s="27"/>
      <c r="KUP1" s="27"/>
      <c r="KUQ1" s="27"/>
      <c r="KUR1" s="27"/>
      <c r="KUS1" s="27"/>
      <c r="KUT1" s="27"/>
      <c r="KUU1" s="27"/>
      <c r="KUV1" s="27"/>
      <c r="KUW1" s="27"/>
      <c r="KUX1" s="27"/>
      <c r="KUY1" s="27"/>
      <c r="KUZ1" s="27"/>
      <c r="KVA1" s="27"/>
      <c r="KVB1" s="27"/>
      <c r="KVC1" s="27"/>
      <c r="KVD1" s="27"/>
      <c r="KVE1" s="27"/>
      <c r="KVF1" s="27"/>
      <c r="KVG1" s="27"/>
      <c r="KVH1" s="27"/>
      <c r="KVI1" s="27"/>
      <c r="KVJ1" s="27"/>
      <c r="KVK1" s="27"/>
      <c r="KVL1" s="27"/>
      <c r="KVM1" s="27"/>
      <c r="KVN1" s="27"/>
      <c r="KVO1" s="27"/>
      <c r="KVP1" s="27"/>
      <c r="KVQ1" s="27"/>
      <c r="KVR1" s="27"/>
      <c r="KVS1" s="27"/>
      <c r="KVT1" s="27"/>
      <c r="KVU1" s="27"/>
      <c r="KVV1" s="27"/>
      <c r="KVW1" s="27"/>
      <c r="KVX1" s="27"/>
      <c r="KVY1" s="27"/>
      <c r="KVZ1" s="27"/>
      <c r="KWA1" s="27"/>
      <c r="KWB1" s="27"/>
      <c r="KWC1" s="27"/>
      <c r="KWD1" s="27"/>
      <c r="KWE1" s="27"/>
      <c r="KWF1" s="27"/>
      <c r="KWG1" s="27"/>
      <c r="KWH1" s="27"/>
      <c r="KWI1" s="27"/>
      <c r="KWJ1" s="27"/>
      <c r="KWK1" s="27"/>
      <c r="KWL1" s="27"/>
      <c r="KWM1" s="27"/>
      <c r="KWN1" s="27"/>
      <c r="KWO1" s="27"/>
      <c r="KWP1" s="27"/>
      <c r="KWQ1" s="27"/>
      <c r="KWR1" s="27"/>
      <c r="KWS1" s="27"/>
      <c r="KWT1" s="27"/>
      <c r="KWU1" s="27"/>
      <c r="KWV1" s="27"/>
      <c r="KWW1" s="27"/>
      <c r="KWX1" s="27"/>
      <c r="KWY1" s="27"/>
      <c r="KWZ1" s="27"/>
      <c r="KXA1" s="27"/>
      <c r="KXB1" s="27"/>
      <c r="KXC1" s="27"/>
      <c r="KXD1" s="27"/>
      <c r="KXE1" s="27"/>
      <c r="KXF1" s="27"/>
      <c r="KXG1" s="27"/>
      <c r="KXH1" s="27"/>
      <c r="KXI1" s="27"/>
      <c r="KXJ1" s="27"/>
      <c r="KXK1" s="27"/>
      <c r="KXL1" s="27"/>
      <c r="KXM1" s="27"/>
      <c r="KXN1" s="27"/>
      <c r="KXO1" s="27"/>
      <c r="KXP1" s="27"/>
      <c r="KXQ1" s="27"/>
      <c r="KXR1" s="27"/>
      <c r="KXS1" s="27"/>
      <c r="KXT1" s="27"/>
      <c r="KXU1" s="27"/>
      <c r="KXV1" s="27"/>
      <c r="KXW1" s="27"/>
      <c r="KXX1" s="27"/>
      <c r="KXY1" s="27"/>
      <c r="KXZ1" s="27"/>
      <c r="KYA1" s="27"/>
      <c r="KYB1" s="27"/>
      <c r="KYC1" s="27"/>
      <c r="KYD1" s="27"/>
      <c r="KYE1" s="27"/>
      <c r="KYF1" s="27"/>
      <c r="KYG1" s="27"/>
      <c r="KYH1" s="27"/>
      <c r="KYI1" s="27"/>
      <c r="KYJ1" s="27"/>
      <c r="KYK1" s="27"/>
      <c r="KYL1" s="27"/>
      <c r="KYM1" s="27"/>
      <c r="KYN1" s="27"/>
      <c r="KYO1" s="27"/>
      <c r="KYP1" s="27"/>
      <c r="KYQ1" s="27"/>
      <c r="KYR1" s="27"/>
      <c r="KYS1" s="27"/>
      <c r="KYT1" s="27"/>
      <c r="KYU1" s="27"/>
      <c r="KYV1" s="27"/>
      <c r="KYW1" s="27"/>
      <c r="KYX1" s="27"/>
      <c r="KYY1" s="27"/>
      <c r="KYZ1" s="27"/>
      <c r="KZA1" s="27"/>
      <c r="KZB1" s="27"/>
      <c r="KZC1" s="27"/>
      <c r="KZD1" s="27"/>
      <c r="KZE1" s="27"/>
      <c r="KZF1" s="27"/>
      <c r="KZG1" s="27"/>
      <c r="KZH1" s="27"/>
      <c r="KZI1" s="27"/>
      <c r="KZJ1" s="27"/>
      <c r="KZK1" s="27"/>
      <c r="KZL1" s="27"/>
      <c r="KZM1" s="27"/>
      <c r="KZN1" s="27"/>
      <c r="KZO1" s="27"/>
      <c r="KZP1" s="27"/>
      <c r="KZQ1" s="27"/>
      <c r="KZR1" s="27"/>
      <c r="KZS1" s="27"/>
      <c r="KZT1" s="27"/>
      <c r="KZU1" s="27"/>
      <c r="KZV1" s="27"/>
      <c r="KZW1" s="27"/>
      <c r="KZX1" s="27"/>
      <c r="KZY1" s="27"/>
      <c r="KZZ1" s="27"/>
      <c r="LAA1" s="27"/>
      <c r="LAB1" s="27"/>
      <c r="LAC1" s="27"/>
      <c r="LAD1" s="27"/>
      <c r="LAE1" s="27"/>
      <c r="LAF1" s="27"/>
      <c r="LAG1" s="27"/>
      <c r="LAH1" s="27"/>
      <c r="LAI1" s="27"/>
      <c r="LAJ1" s="27"/>
      <c r="LAK1" s="27"/>
      <c r="LAL1" s="27"/>
      <c r="LAM1" s="27"/>
      <c r="LAN1" s="27"/>
      <c r="LAO1" s="27"/>
      <c r="LAP1" s="27"/>
      <c r="LAQ1" s="27"/>
      <c r="LAR1" s="27"/>
      <c r="LAS1" s="27"/>
      <c r="LAT1" s="27"/>
      <c r="LAU1" s="27"/>
      <c r="LAV1" s="27"/>
      <c r="LAW1" s="27"/>
      <c r="LAX1" s="27"/>
      <c r="LAY1" s="27"/>
      <c r="LAZ1" s="27"/>
      <c r="LBA1" s="27"/>
      <c r="LBB1" s="27"/>
      <c r="LBC1" s="27"/>
      <c r="LBD1" s="27"/>
      <c r="LBE1" s="27"/>
      <c r="LBF1" s="27"/>
      <c r="LBG1" s="27"/>
      <c r="LBH1" s="27"/>
      <c r="LBI1" s="27"/>
      <c r="LBJ1" s="27"/>
      <c r="LBK1" s="27"/>
      <c r="LBL1" s="27"/>
      <c r="LBM1" s="27"/>
      <c r="LBN1" s="27"/>
      <c r="LBO1" s="27"/>
      <c r="LBP1" s="27"/>
      <c r="LBQ1" s="27"/>
      <c r="LBR1" s="27"/>
      <c r="LBS1" s="27"/>
      <c r="LBT1" s="27"/>
      <c r="LBU1" s="27"/>
      <c r="LBV1" s="27"/>
      <c r="LBW1" s="27"/>
      <c r="LBX1" s="27"/>
      <c r="LBY1" s="27"/>
      <c r="LBZ1" s="27"/>
      <c r="LCA1" s="27"/>
      <c r="LCB1" s="27"/>
      <c r="LCC1" s="27"/>
      <c r="LCD1" s="27"/>
      <c r="LCE1" s="27"/>
      <c r="LCF1" s="27"/>
      <c r="LCG1" s="27"/>
      <c r="LCH1" s="27"/>
      <c r="LCI1" s="27"/>
      <c r="LCJ1" s="27"/>
      <c r="LCK1" s="27"/>
      <c r="LCL1" s="27"/>
      <c r="LCM1" s="27"/>
      <c r="LCN1" s="27"/>
      <c r="LCO1" s="27"/>
      <c r="LCP1" s="27"/>
      <c r="LCQ1" s="27"/>
      <c r="LCR1" s="27"/>
      <c r="LCS1" s="27"/>
      <c r="LCT1" s="27"/>
      <c r="LCU1" s="27"/>
      <c r="LCV1" s="27"/>
      <c r="LCW1" s="27"/>
      <c r="LCX1" s="27"/>
      <c r="LCY1" s="27"/>
      <c r="LCZ1" s="27"/>
      <c r="LDA1" s="27"/>
      <c r="LDB1" s="27"/>
      <c r="LDC1" s="27"/>
      <c r="LDD1" s="27"/>
      <c r="LDE1" s="27"/>
      <c r="LDF1" s="27"/>
      <c r="LDG1" s="27"/>
      <c r="LDH1" s="27"/>
      <c r="LDI1" s="27"/>
      <c r="LDJ1" s="27"/>
      <c r="LDK1" s="27"/>
      <c r="LDL1" s="27"/>
      <c r="LDM1" s="27"/>
      <c r="LDN1" s="27"/>
      <c r="LDO1" s="27"/>
      <c r="LDP1" s="27"/>
      <c r="LDQ1" s="27"/>
      <c r="LDR1" s="27"/>
      <c r="LDS1" s="27"/>
      <c r="LDT1" s="27"/>
      <c r="LDU1" s="27"/>
      <c r="LDV1" s="27"/>
      <c r="LDW1" s="27"/>
      <c r="LDX1" s="27"/>
      <c r="LDY1" s="27"/>
      <c r="LDZ1" s="27"/>
      <c r="LEA1" s="27"/>
      <c r="LEB1" s="27"/>
      <c r="LEC1" s="27"/>
      <c r="LED1" s="27"/>
      <c r="LEE1" s="27"/>
      <c r="LEF1" s="27"/>
      <c r="LEG1" s="27"/>
      <c r="LEH1" s="27"/>
      <c r="LEI1" s="27"/>
      <c r="LEJ1" s="27"/>
      <c r="LEK1" s="27"/>
      <c r="LEL1" s="27"/>
      <c r="LEM1" s="27"/>
      <c r="LEN1" s="27"/>
      <c r="LEO1" s="27"/>
      <c r="LEP1" s="27"/>
      <c r="LEQ1" s="27"/>
      <c r="LER1" s="27"/>
      <c r="LES1" s="27"/>
      <c r="LET1" s="27"/>
      <c r="LEU1" s="27"/>
      <c r="LEV1" s="27"/>
      <c r="LEW1" s="27"/>
      <c r="LEX1" s="27"/>
      <c r="LEY1" s="27"/>
      <c r="LEZ1" s="27"/>
      <c r="LFA1" s="27"/>
      <c r="LFB1" s="27"/>
      <c r="LFC1" s="27"/>
      <c r="LFD1" s="27"/>
      <c r="LFE1" s="27"/>
      <c r="LFF1" s="27"/>
      <c r="LFG1" s="27"/>
      <c r="LFH1" s="27"/>
      <c r="LFI1" s="27"/>
      <c r="LFJ1" s="27"/>
      <c r="LFK1" s="27"/>
      <c r="LFL1" s="27"/>
      <c r="LFM1" s="27"/>
      <c r="LFN1" s="27"/>
      <c r="LFO1" s="27"/>
      <c r="LFP1" s="27"/>
      <c r="LFQ1" s="27"/>
      <c r="LFR1" s="27"/>
      <c r="LFS1" s="27"/>
      <c r="LFT1" s="27"/>
      <c r="LFU1" s="27"/>
      <c r="LFV1" s="27"/>
      <c r="LFW1" s="27"/>
      <c r="LFX1" s="27"/>
      <c r="LFY1" s="27"/>
      <c r="LFZ1" s="27"/>
      <c r="LGA1" s="27"/>
      <c r="LGB1" s="27"/>
      <c r="LGC1" s="27"/>
      <c r="LGD1" s="27"/>
      <c r="LGE1" s="27"/>
      <c r="LGF1" s="27"/>
      <c r="LGG1" s="27"/>
      <c r="LGH1" s="27"/>
      <c r="LGI1" s="27"/>
      <c r="LGJ1" s="27"/>
      <c r="LGK1" s="27"/>
      <c r="LGL1" s="27"/>
      <c r="LGM1" s="27"/>
      <c r="LGN1" s="27"/>
      <c r="LGO1" s="27"/>
      <c r="LGP1" s="27"/>
      <c r="LGQ1" s="27"/>
      <c r="LGR1" s="27"/>
      <c r="LGS1" s="27"/>
      <c r="LGT1" s="27"/>
      <c r="LGU1" s="27"/>
      <c r="LGV1" s="27"/>
      <c r="LGW1" s="27"/>
      <c r="LGX1" s="27"/>
      <c r="LGY1" s="27"/>
      <c r="LGZ1" s="27"/>
      <c r="LHA1" s="27"/>
      <c r="LHB1" s="27"/>
      <c r="LHC1" s="27"/>
      <c r="LHD1" s="27"/>
      <c r="LHE1" s="27"/>
      <c r="LHF1" s="27"/>
      <c r="LHG1" s="27"/>
      <c r="LHH1" s="27"/>
      <c r="LHI1" s="27"/>
      <c r="LHJ1" s="27"/>
      <c r="LHK1" s="27"/>
      <c r="LHL1" s="27"/>
      <c r="LHM1" s="27"/>
      <c r="LHN1" s="27"/>
      <c r="LHO1" s="27"/>
      <c r="LHP1" s="27"/>
      <c r="LHQ1" s="27"/>
      <c r="LHR1" s="27"/>
      <c r="LHS1" s="27"/>
      <c r="LHT1" s="27"/>
      <c r="LHU1" s="27"/>
      <c r="LHV1" s="27"/>
      <c r="LHW1" s="27"/>
      <c r="LHX1" s="27"/>
      <c r="LHY1" s="27"/>
      <c r="LHZ1" s="27"/>
      <c r="LIA1" s="27"/>
      <c r="LIB1" s="27"/>
      <c r="LIC1" s="27"/>
      <c r="LID1" s="27"/>
      <c r="LIE1" s="27"/>
      <c r="LIF1" s="27"/>
      <c r="LIG1" s="27"/>
      <c r="LIH1" s="27"/>
      <c r="LII1" s="27"/>
      <c r="LIJ1" s="27"/>
      <c r="LIK1" s="27"/>
      <c r="LIL1" s="27"/>
      <c r="LIM1" s="27"/>
      <c r="LIN1" s="27"/>
      <c r="LIO1" s="27"/>
      <c r="LIP1" s="27"/>
      <c r="LIQ1" s="27"/>
      <c r="LIR1" s="27"/>
      <c r="LIS1" s="27"/>
      <c r="LIT1" s="27"/>
      <c r="LIU1" s="27"/>
      <c r="LIV1" s="27"/>
      <c r="LIW1" s="27"/>
      <c r="LIX1" s="27"/>
      <c r="LIY1" s="27"/>
      <c r="LIZ1" s="27"/>
      <c r="LJA1" s="27"/>
      <c r="LJB1" s="27"/>
      <c r="LJC1" s="27"/>
      <c r="LJD1" s="27"/>
      <c r="LJE1" s="27"/>
      <c r="LJF1" s="27"/>
      <c r="LJG1" s="27"/>
      <c r="LJH1" s="27"/>
      <c r="LJI1" s="27"/>
      <c r="LJJ1" s="27"/>
      <c r="LJK1" s="27"/>
      <c r="LJL1" s="27"/>
      <c r="LJM1" s="27"/>
      <c r="LJN1" s="27"/>
      <c r="LJO1" s="27"/>
      <c r="LJP1" s="27"/>
      <c r="LJQ1" s="27"/>
      <c r="LJR1" s="27"/>
      <c r="LJS1" s="27"/>
      <c r="LJT1" s="27"/>
      <c r="LJU1" s="27"/>
      <c r="LJV1" s="27"/>
      <c r="LJW1" s="27"/>
      <c r="LJX1" s="27"/>
      <c r="LJY1" s="27"/>
      <c r="LJZ1" s="27"/>
      <c r="LKA1" s="27"/>
      <c r="LKB1" s="27"/>
      <c r="LKC1" s="27"/>
      <c r="LKD1" s="27"/>
      <c r="LKE1" s="27"/>
      <c r="LKF1" s="27"/>
      <c r="LKG1" s="27"/>
      <c r="LKH1" s="27"/>
      <c r="LKI1" s="27"/>
      <c r="LKJ1" s="27"/>
      <c r="LKK1" s="27"/>
      <c r="LKL1" s="27"/>
      <c r="LKM1" s="27"/>
      <c r="LKN1" s="27"/>
      <c r="LKO1" s="27"/>
      <c r="LKP1" s="27"/>
      <c r="LKQ1" s="27"/>
      <c r="LKR1" s="27"/>
      <c r="LKS1" s="27"/>
      <c r="LKT1" s="27"/>
      <c r="LKU1" s="27"/>
      <c r="LKV1" s="27"/>
      <c r="LKW1" s="27"/>
      <c r="LKX1" s="27"/>
      <c r="LKY1" s="27"/>
      <c r="LKZ1" s="27"/>
      <c r="LLA1" s="27"/>
      <c r="LLB1" s="27"/>
      <c r="LLC1" s="27"/>
      <c r="LLD1" s="27"/>
      <c r="LLE1" s="27"/>
      <c r="LLF1" s="27"/>
      <c r="LLG1" s="27"/>
      <c r="LLH1" s="27"/>
      <c r="LLI1" s="27"/>
      <c r="LLJ1" s="27"/>
      <c r="LLK1" s="27"/>
      <c r="LLL1" s="27"/>
      <c r="LLM1" s="27"/>
      <c r="LLN1" s="27"/>
      <c r="LLO1" s="27"/>
      <c r="LLP1" s="27"/>
      <c r="LLQ1" s="27"/>
      <c r="LLR1" s="27"/>
      <c r="LLS1" s="27"/>
      <c r="LLT1" s="27"/>
      <c r="LLU1" s="27"/>
      <c r="LLV1" s="27"/>
      <c r="LLW1" s="27"/>
      <c r="LLX1" s="27"/>
      <c r="LLY1" s="27"/>
      <c r="LLZ1" s="27"/>
      <c r="LMA1" s="27"/>
      <c r="LMB1" s="27"/>
      <c r="LMC1" s="27"/>
      <c r="LMD1" s="27"/>
      <c r="LME1" s="27"/>
      <c r="LMF1" s="27"/>
      <c r="LMG1" s="27"/>
      <c r="LMH1" s="27"/>
      <c r="LMI1" s="27"/>
      <c r="LMJ1" s="27"/>
      <c r="LMK1" s="27"/>
      <c r="LML1" s="27"/>
      <c r="LMM1" s="27"/>
      <c r="LMN1" s="27"/>
      <c r="LMO1" s="27"/>
      <c r="LMP1" s="27"/>
      <c r="LMQ1" s="27"/>
      <c r="LMR1" s="27"/>
      <c r="LMS1" s="27"/>
      <c r="LMT1" s="27"/>
      <c r="LMU1" s="27"/>
      <c r="LMV1" s="27"/>
      <c r="LMW1" s="27"/>
      <c r="LMX1" s="27"/>
      <c r="LMY1" s="27"/>
      <c r="LMZ1" s="27"/>
      <c r="LNA1" s="27"/>
      <c r="LNB1" s="27"/>
      <c r="LNC1" s="27"/>
      <c r="LND1" s="27"/>
      <c r="LNE1" s="27"/>
      <c r="LNF1" s="27"/>
      <c r="LNG1" s="27"/>
      <c r="LNH1" s="27"/>
      <c r="LNI1" s="27"/>
      <c r="LNJ1" s="27"/>
      <c r="LNK1" s="27"/>
      <c r="LNL1" s="27"/>
      <c r="LNM1" s="27"/>
      <c r="LNN1" s="27"/>
      <c r="LNO1" s="27"/>
      <c r="LNP1" s="27"/>
      <c r="LNQ1" s="27"/>
      <c r="LNR1" s="27"/>
      <c r="LNS1" s="27"/>
      <c r="LNT1" s="27"/>
      <c r="LNU1" s="27"/>
      <c r="LNV1" s="27"/>
      <c r="LNW1" s="27"/>
      <c r="LNX1" s="27"/>
      <c r="LNY1" s="27"/>
      <c r="LNZ1" s="27"/>
      <c r="LOA1" s="27"/>
      <c r="LOB1" s="27"/>
      <c r="LOC1" s="27"/>
      <c r="LOD1" s="27"/>
      <c r="LOE1" s="27"/>
      <c r="LOF1" s="27"/>
      <c r="LOG1" s="27"/>
      <c r="LOH1" s="27"/>
      <c r="LOI1" s="27"/>
      <c r="LOJ1" s="27"/>
      <c r="LOK1" s="27"/>
      <c r="LOL1" s="27"/>
      <c r="LOM1" s="27"/>
      <c r="LON1" s="27"/>
      <c r="LOO1" s="27"/>
      <c r="LOP1" s="27"/>
      <c r="LOQ1" s="27"/>
      <c r="LOR1" s="27"/>
      <c r="LOS1" s="27"/>
      <c r="LOT1" s="27"/>
      <c r="LOU1" s="27"/>
      <c r="LOV1" s="27"/>
      <c r="LOW1" s="27"/>
      <c r="LOX1" s="27"/>
      <c r="LOY1" s="27"/>
      <c r="LOZ1" s="27"/>
      <c r="LPA1" s="27"/>
      <c r="LPB1" s="27"/>
      <c r="LPC1" s="27"/>
      <c r="LPD1" s="27"/>
      <c r="LPE1" s="27"/>
      <c r="LPF1" s="27"/>
      <c r="LPG1" s="27"/>
      <c r="LPH1" s="27"/>
      <c r="LPI1" s="27"/>
      <c r="LPJ1" s="27"/>
      <c r="LPK1" s="27"/>
      <c r="LPL1" s="27"/>
      <c r="LPM1" s="27"/>
      <c r="LPN1" s="27"/>
      <c r="LPO1" s="27"/>
      <c r="LPP1" s="27"/>
      <c r="LPQ1" s="27"/>
      <c r="LPR1" s="27"/>
      <c r="LPS1" s="27"/>
      <c r="LPT1" s="27"/>
      <c r="LPU1" s="27"/>
      <c r="LPV1" s="27"/>
      <c r="LPW1" s="27"/>
      <c r="LPX1" s="27"/>
      <c r="LPY1" s="27"/>
      <c r="LPZ1" s="27"/>
      <c r="LQA1" s="27"/>
      <c r="LQB1" s="27"/>
      <c r="LQC1" s="27"/>
      <c r="LQD1" s="27"/>
      <c r="LQE1" s="27"/>
      <c r="LQF1" s="27"/>
      <c r="LQG1" s="27"/>
      <c r="LQH1" s="27"/>
      <c r="LQI1" s="27"/>
      <c r="LQJ1" s="27"/>
      <c r="LQK1" s="27"/>
      <c r="LQL1" s="27"/>
      <c r="LQM1" s="27"/>
      <c r="LQN1" s="27"/>
      <c r="LQO1" s="27"/>
      <c r="LQP1" s="27"/>
      <c r="LQQ1" s="27"/>
      <c r="LQR1" s="27"/>
      <c r="LQS1" s="27"/>
      <c r="LQT1" s="27"/>
      <c r="LQU1" s="27"/>
      <c r="LQV1" s="27"/>
      <c r="LQW1" s="27"/>
      <c r="LQX1" s="27"/>
      <c r="LQY1" s="27"/>
      <c r="LQZ1" s="27"/>
      <c r="LRA1" s="27"/>
      <c r="LRB1" s="27"/>
      <c r="LRC1" s="27"/>
      <c r="LRD1" s="27"/>
      <c r="LRE1" s="27"/>
      <c r="LRF1" s="27"/>
      <c r="LRG1" s="27"/>
      <c r="LRH1" s="27"/>
      <c r="LRI1" s="27"/>
      <c r="LRJ1" s="27"/>
      <c r="LRK1" s="27"/>
      <c r="LRL1" s="27"/>
      <c r="LRM1" s="27"/>
      <c r="LRN1" s="27"/>
      <c r="LRO1" s="27"/>
      <c r="LRP1" s="27"/>
      <c r="LRQ1" s="27"/>
      <c r="LRR1" s="27"/>
      <c r="LRS1" s="27"/>
      <c r="LRT1" s="27"/>
      <c r="LRU1" s="27"/>
      <c r="LRV1" s="27"/>
      <c r="LRW1" s="27"/>
      <c r="LRX1" s="27"/>
      <c r="LRY1" s="27"/>
      <c r="LRZ1" s="27"/>
      <c r="LSA1" s="27"/>
      <c r="LSB1" s="27"/>
      <c r="LSC1" s="27"/>
      <c r="LSD1" s="27"/>
      <c r="LSE1" s="27"/>
      <c r="LSF1" s="27"/>
      <c r="LSG1" s="27"/>
      <c r="LSH1" s="27"/>
      <c r="LSI1" s="27"/>
      <c r="LSJ1" s="27"/>
      <c r="LSK1" s="27"/>
      <c r="LSL1" s="27"/>
      <c r="LSM1" s="27"/>
      <c r="LSN1" s="27"/>
      <c r="LSO1" s="27"/>
      <c r="LSP1" s="27"/>
      <c r="LSQ1" s="27"/>
      <c r="LSR1" s="27"/>
      <c r="LSS1" s="27"/>
      <c r="LST1" s="27"/>
      <c r="LSU1" s="27"/>
      <c r="LSV1" s="27"/>
      <c r="LSW1" s="27"/>
      <c r="LSX1" s="27"/>
      <c r="LSY1" s="27"/>
      <c r="LSZ1" s="27"/>
      <c r="LTA1" s="27"/>
      <c r="LTB1" s="27"/>
      <c r="LTC1" s="27"/>
      <c r="LTD1" s="27"/>
      <c r="LTE1" s="27"/>
      <c r="LTF1" s="27"/>
      <c r="LTG1" s="27"/>
      <c r="LTH1" s="27"/>
      <c r="LTI1" s="27"/>
      <c r="LTJ1" s="27"/>
      <c r="LTK1" s="27"/>
      <c r="LTL1" s="27"/>
      <c r="LTM1" s="27"/>
      <c r="LTN1" s="27"/>
      <c r="LTO1" s="27"/>
      <c r="LTP1" s="27"/>
      <c r="LTQ1" s="27"/>
      <c r="LTR1" s="27"/>
      <c r="LTS1" s="27"/>
      <c r="LTT1" s="27"/>
      <c r="LTU1" s="27"/>
      <c r="LTV1" s="27"/>
      <c r="LTW1" s="27"/>
      <c r="LTX1" s="27"/>
      <c r="LTY1" s="27"/>
      <c r="LTZ1" s="27"/>
      <c r="LUA1" s="27"/>
      <c r="LUB1" s="27"/>
      <c r="LUC1" s="27"/>
      <c r="LUD1" s="27"/>
      <c r="LUE1" s="27"/>
      <c r="LUF1" s="27"/>
      <c r="LUG1" s="27"/>
      <c r="LUH1" s="27"/>
      <c r="LUI1" s="27"/>
      <c r="LUJ1" s="27"/>
      <c r="LUK1" s="27"/>
      <c r="LUL1" s="27"/>
      <c r="LUM1" s="27"/>
      <c r="LUN1" s="27"/>
      <c r="LUO1" s="27"/>
      <c r="LUP1" s="27"/>
      <c r="LUQ1" s="27"/>
      <c r="LUR1" s="27"/>
      <c r="LUS1" s="27"/>
      <c r="LUT1" s="27"/>
      <c r="LUU1" s="27"/>
      <c r="LUV1" s="27"/>
      <c r="LUW1" s="27"/>
      <c r="LUX1" s="27"/>
      <c r="LUY1" s="27"/>
      <c r="LUZ1" s="27"/>
      <c r="LVA1" s="27"/>
      <c r="LVB1" s="27"/>
      <c r="LVC1" s="27"/>
      <c r="LVD1" s="27"/>
      <c r="LVE1" s="27"/>
      <c r="LVF1" s="27"/>
      <c r="LVG1" s="27"/>
      <c r="LVH1" s="27"/>
      <c r="LVI1" s="27"/>
      <c r="LVJ1" s="27"/>
      <c r="LVK1" s="27"/>
      <c r="LVL1" s="27"/>
      <c r="LVM1" s="27"/>
      <c r="LVN1" s="27"/>
      <c r="LVO1" s="27"/>
      <c r="LVP1" s="27"/>
      <c r="LVQ1" s="27"/>
      <c r="LVR1" s="27"/>
      <c r="LVS1" s="27"/>
      <c r="LVT1" s="27"/>
      <c r="LVU1" s="27"/>
      <c r="LVV1" s="27"/>
      <c r="LVW1" s="27"/>
      <c r="LVX1" s="27"/>
      <c r="LVY1" s="27"/>
      <c r="LVZ1" s="27"/>
      <c r="LWA1" s="27"/>
      <c r="LWB1" s="27"/>
      <c r="LWC1" s="27"/>
      <c r="LWD1" s="27"/>
      <c r="LWE1" s="27"/>
      <c r="LWF1" s="27"/>
      <c r="LWG1" s="27"/>
      <c r="LWH1" s="27"/>
      <c r="LWI1" s="27"/>
      <c r="LWJ1" s="27"/>
      <c r="LWK1" s="27"/>
      <c r="LWL1" s="27"/>
      <c r="LWM1" s="27"/>
      <c r="LWN1" s="27"/>
      <c r="LWO1" s="27"/>
      <c r="LWP1" s="27"/>
      <c r="LWQ1" s="27"/>
      <c r="LWR1" s="27"/>
      <c r="LWS1" s="27"/>
      <c r="LWT1" s="27"/>
      <c r="LWU1" s="27"/>
      <c r="LWV1" s="27"/>
      <c r="LWW1" s="27"/>
      <c r="LWX1" s="27"/>
      <c r="LWY1" s="27"/>
      <c r="LWZ1" s="27"/>
      <c r="LXA1" s="27"/>
      <c r="LXB1" s="27"/>
      <c r="LXC1" s="27"/>
      <c r="LXD1" s="27"/>
      <c r="LXE1" s="27"/>
      <c r="LXF1" s="27"/>
      <c r="LXG1" s="27"/>
      <c r="LXH1" s="27"/>
      <c r="LXI1" s="27"/>
      <c r="LXJ1" s="27"/>
      <c r="LXK1" s="27"/>
      <c r="LXL1" s="27"/>
      <c r="LXM1" s="27"/>
      <c r="LXN1" s="27"/>
      <c r="LXO1" s="27"/>
      <c r="LXP1" s="27"/>
      <c r="LXQ1" s="27"/>
      <c r="LXR1" s="27"/>
      <c r="LXS1" s="27"/>
      <c r="LXT1" s="27"/>
      <c r="LXU1" s="27"/>
      <c r="LXV1" s="27"/>
      <c r="LXW1" s="27"/>
      <c r="LXX1" s="27"/>
      <c r="LXY1" s="27"/>
      <c r="LXZ1" s="27"/>
      <c r="LYA1" s="27"/>
      <c r="LYB1" s="27"/>
      <c r="LYC1" s="27"/>
      <c r="LYD1" s="27"/>
      <c r="LYE1" s="27"/>
      <c r="LYF1" s="27"/>
      <c r="LYG1" s="27"/>
      <c r="LYH1" s="27"/>
      <c r="LYI1" s="27"/>
      <c r="LYJ1" s="27"/>
      <c r="LYK1" s="27"/>
      <c r="LYL1" s="27"/>
      <c r="LYM1" s="27"/>
      <c r="LYN1" s="27"/>
      <c r="LYO1" s="27"/>
      <c r="LYP1" s="27"/>
      <c r="LYQ1" s="27"/>
      <c r="LYR1" s="27"/>
      <c r="LYS1" s="27"/>
      <c r="LYT1" s="27"/>
      <c r="LYU1" s="27"/>
      <c r="LYV1" s="27"/>
      <c r="LYW1" s="27"/>
      <c r="LYX1" s="27"/>
      <c r="LYY1" s="27"/>
      <c r="LYZ1" s="27"/>
      <c r="LZA1" s="27"/>
      <c r="LZB1" s="27"/>
      <c r="LZC1" s="27"/>
      <c r="LZD1" s="27"/>
      <c r="LZE1" s="27"/>
      <c r="LZF1" s="27"/>
      <c r="LZG1" s="27"/>
      <c r="LZH1" s="27"/>
      <c r="LZI1" s="27"/>
      <c r="LZJ1" s="27"/>
      <c r="LZK1" s="27"/>
      <c r="LZL1" s="27"/>
      <c r="LZM1" s="27"/>
      <c r="LZN1" s="27"/>
      <c r="LZO1" s="27"/>
      <c r="LZP1" s="27"/>
      <c r="LZQ1" s="27"/>
      <c r="LZR1" s="27"/>
      <c r="LZS1" s="27"/>
      <c r="LZT1" s="27"/>
      <c r="LZU1" s="27"/>
      <c r="LZV1" s="27"/>
      <c r="LZW1" s="27"/>
      <c r="LZX1" s="27"/>
      <c r="LZY1" s="27"/>
      <c r="LZZ1" s="27"/>
      <c r="MAA1" s="27"/>
      <c r="MAB1" s="27"/>
      <c r="MAC1" s="27"/>
      <c r="MAD1" s="27"/>
      <c r="MAE1" s="27"/>
      <c r="MAF1" s="27"/>
      <c r="MAG1" s="27"/>
      <c r="MAH1" s="27"/>
      <c r="MAI1" s="27"/>
      <c r="MAJ1" s="27"/>
      <c r="MAK1" s="27"/>
      <c r="MAL1" s="27"/>
      <c r="MAM1" s="27"/>
      <c r="MAN1" s="27"/>
      <c r="MAO1" s="27"/>
      <c r="MAP1" s="27"/>
      <c r="MAQ1" s="27"/>
      <c r="MAR1" s="27"/>
      <c r="MAS1" s="27"/>
      <c r="MAT1" s="27"/>
      <c r="MAU1" s="27"/>
      <c r="MAV1" s="27"/>
      <c r="MAW1" s="27"/>
      <c r="MAX1" s="27"/>
      <c r="MAY1" s="27"/>
      <c r="MAZ1" s="27"/>
      <c r="MBA1" s="27"/>
      <c r="MBB1" s="27"/>
      <c r="MBC1" s="27"/>
      <c r="MBD1" s="27"/>
      <c r="MBE1" s="27"/>
      <c r="MBF1" s="27"/>
      <c r="MBG1" s="27"/>
      <c r="MBH1" s="27"/>
      <c r="MBI1" s="27"/>
      <c r="MBJ1" s="27"/>
      <c r="MBK1" s="27"/>
      <c r="MBL1" s="27"/>
      <c r="MBM1" s="27"/>
      <c r="MBN1" s="27"/>
      <c r="MBO1" s="27"/>
      <c r="MBP1" s="27"/>
      <c r="MBQ1" s="27"/>
      <c r="MBR1" s="27"/>
      <c r="MBS1" s="27"/>
      <c r="MBT1" s="27"/>
      <c r="MBU1" s="27"/>
      <c r="MBV1" s="27"/>
      <c r="MBW1" s="27"/>
      <c r="MBX1" s="27"/>
      <c r="MBY1" s="27"/>
      <c r="MBZ1" s="27"/>
      <c r="MCA1" s="27"/>
      <c r="MCB1" s="27"/>
      <c r="MCC1" s="27"/>
      <c r="MCD1" s="27"/>
      <c r="MCE1" s="27"/>
      <c r="MCF1" s="27"/>
      <c r="MCG1" s="27"/>
      <c r="MCH1" s="27"/>
      <c r="MCI1" s="27"/>
      <c r="MCJ1" s="27"/>
      <c r="MCK1" s="27"/>
      <c r="MCL1" s="27"/>
      <c r="MCM1" s="27"/>
      <c r="MCN1" s="27"/>
      <c r="MCO1" s="27"/>
      <c r="MCP1" s="27"/>
      <c r="MCQ1" s="27"/>
      <c r="MCR1" s="27"/>
      <c r="MCS1" s="27"/>
      <c r="MCT1" s="27"/>
      <c r="MCU1" s="27"/>
      <c r="MCV1" s="27"/>
      <c r="MCW1" s="27"/>
      <c r="MCX1" s="27"/>
      <c r="MCY1" s="27"/>
      <c r="MCZ1" s="27"/>
      <c r="MDA1" s="27"/>
      <c r="MDB1" s="27"/>
      <c r="MDC1" s="27"/>
      <c r="MDD1" s="27"/>
      <c r="MDE1" s="27"/>
      <c r="MDF1" s="27"/>
      <c r="MDG1" s="27"/>
      <c r="MDH1" s="27"/>
      <c r="MDI1" s="27"/>
      <c r="MDJ1" s="27"/>
      <c r="MDK1" s="27"/>
      <c r="MDL1" s="27"/>
      <c r="MDM1" s="27"/>
      <c r="MDN1" s="27"/>
      <c r="MDO1" s="27"/>
      <c r="MDP1" s="27"/>
      <c r="MDQ1" s="27"/>
      <c r="MDR1" s="27"/>
      <c r="MDS1" s="27"/>
      <c r="MDT1" s="27"/>
      <c r="MDU1" s="27"/>
      <c r="MDV1" s="27"/>
      <c r="MDW1" s="27"/>
      <c r="MDX1" s="27"/>
      <c r="MDY1" s="27"/>
      <c r="MDZ1" s="27"/>
      <c r="MEA1" s="27"/>
      <c r="MEB1" s="27"/>
      <c r="MEC1" s="27"/>
      <c r="MED1" s="27"/>
      <c r="MEE1" s="27"/>
      <c r="MEF1" s="27"/>
      <c r="MEG1" s="27"/>
      <c r="MEH1" s="27"/>
      <c r="MEI1" s="27"/>
      <c r="MEJ1" s="27"/>
      <c r="MEK1" s="27"/>
      <c r="MEL1" s="27"/>
      <c r="MEM1" s="27"/>
      <c r="MEN1" s="27"/>
      <c r="MEO1" s="27"/>
      <c r="MEP1" s="27"/>
      <c r="MEQ1" s="27"/>
      <c r="MER1" s="27"/>
      <c r="MES1" s="27"/>
      <c r="MET1" s="27"/>
      <c r="MEU1" s="27"/>
      <c r="MEV1" s="27"/>
      <c r="MEW1" s="27"/>
      <c r="MEX1" s="27"/>
      <c r="MEY1" s="27"/>
      <c r="MEZ1" s="27"/>
      <c r="MFA1" s="27"/>
      <c r="MFB1" s="27"/>
      <c r="MFC1" s="27"/>
      <c r="MFD1" s="27"/>
      <c r="MFE1" s="27"/>
      <c r="MFF1" s="27"/>
      <c r="MFG1" s="27"/>
      <c r="MFH1" s="27"/>
      <c r="MFI1" s="27"/>
      <c r="MFJ1" s="27"/>
      <c r="MFK1" s="27"/>
      <c r="MFL1" s="27"/>
      <c r="MFM1" s="27"/>
      <c r="MFN1" s="27"/>
      <c r="MFO1" s="27"/>
      <c r="MFP1" s="27"/>
      <c r="MFQ1" s="27"/>
      <c r="MFR1" s="27"/>
      <c r="MFS1" s="27"/>
      <c r="MFT1" s="27"/>
      <c r="MFU1" s="27"/>
      <c r="MFV1" s="27"/>
      <c r="MFW1" s="27"/>
      <c r="MFX1" s="27"/>
      <c r="MFY1" s="27"/>
      <c r="MFZ1" s="27"/>
      <c r="MGA1" s="27"/>
      <c r="MGB1" s="27"/>
      <c r="MGC1" s="27"/>
      <c r="MGD1" s="27"/>
      <c r="MGE1" s="27"/>
      <c r="MGF1" s="27"/>
      <c r="MGG1" s="27"/>
      <c r="MGH1" s="27"/>
      <c r="MGI1" s="27"/>
      <c r="MGJ1" s="27"/>
      <c r="MGK1" s="27"/>
      <c r="MGL1" s="27"/>
      <c r="MGM1" s="27"/>
      <c r="MGN1" s="27"/>
      <c r="MGO1" s="27"/>
      <c r="MGP1" s="27"/>
      <c r="MGQ1" s="27"/>
      <c r="MGR1" s="27"/>
      <c r="MGS1" s="27"/>
      <c r="MGT1" s="27"/>
      <c r="MGU1" s="27"/>
      <c r="MGV1" s="27"/>
      <c r="MGW1" s="27"/>
      <c r="MGX1" s="27"/>
      <c r="MGY1" s="27"/>
      <c r="MGZ1" s="27"/>
      <c r="MHA1" s="27"/>
      <c r="MHB1" s="27"/>
      <c r="MHC1" s="27"/>
      <c r="MHD1" s="27"/>
      <c r="MHE1" s="27"/>
      <c r="MHF1" s="27"/>
      <c r="MHG1" s="27"/>
      <c r="MHH1" s="27"/>
      <c r="MHI1" s="27"/>
      <c r="MHJ1" s="27"/>
      <c r="MHK1" s="27"/>
      <c r="MHL1" s="27"/>
      <c r="MHM1" s="27"/>
      <c r="MHN1" s="27"/>
      <c r="MHO1" s="27"/>
      <c r="MHP1" s="27"/>
      <c r="MHQ1" s="27"/>
      <c r="MHR1" s="27"/>
      <c r="MHS1" s="27"/>
      <c r="MHT1" s="27"/>
      <c r="MHU1" s="27"/>
      <c r="MHV1" s="27"/>
      <c r="MHW1" s="27"/>
      <c r="MHX1" s="27"/>
      <c r="MHY1" s="27"/>
      <c r="MHZ1" s="27"/>
      <c r="MIA1" s="27"/>
      <c r="MIB1" s="27"/>
      <c r="MIC1" s="27"/>
      <c r="MID1" s="27"/>
      <c r="MIE1" s="27"/>
      <c r="MIF1" s="27"/>
      <c r="MIG1" s="27"/>
      <c r="MIH1" s="27"/>
      <c r="MII1" s="27"/>
      <c r="MIJ1" s="27"/>
      <c r="MIK1" s="27"/>
      <c r="MIL1" s="27"/>
      <c r="MIM1" s="27"/>
      <c r="MIN1" s="27"/>
      <c r="MIO1" s="27"/>
      <c r="MIP1" s="27"/>
      <c r="MIQ1" s="27"/>
      <c r="MIR1" s="27"/>
      <c r="MIS1" s="27"/>
      <c r="MIT1" s="27"/>
      <c r="MIU1" s="27"/>
      <c r="MIV1" s="27"/>
      <c r="MIW1" s="27"/>
      <c r="MIX1" s="27"/>
      <c r="MIY1" s="27"/>
      <c r="MIZ1" s="27"/>
      <c r="MJA1" s="27"/>
      <c r="MJB1" s="27"/>
      <c r="MJC1" s="27"/>
      <c r="MJD1" s="27"/>
      <c r="MJE1" s="27"/>
      <c r="MJF1" s="27"/>
      <c r="MJG1" s="27"/>
      <c r="MJH1" s="27"/>
      <c r="MJI1" s="27"/>
      <c r="MJJ1" s="27"/>
      <c r="MJK1" s="27"/>
      <c r="MJL1" s="27"/>
      <c r="MJM1" s="27"/>
      <c r="MJN1" s="27"/>
      <c r="MJO1" s="27"/>
      <c r="MJP1" s="27"/>
      <c r="MJQ1" s="27"/>
      <c r="MJR1" s="27"/>
      <c r="MJS1" s="27"/>
      <c r="MJT1" s="27"/>
      <c r="MJU1" s="27"/>
      <c r="MJV1" s="27"/>
      <c r="MJW1" s="27"/>
      <c r="MJX1" s="27"/>
      <c r="MJY1" s="27"/>
      <c r="MJZ1" s="27"/>
      <c r="MKA1" s="27"/>
      <c r="MKB1" s="27"/>
      <c r="MKC1" s="27"/>
      <c r="MKD1" s="27"/>
      <c r="MKE1" s="27"/>
      <c r="MKF1" s="27"/>
      <c r="MKG1" s="27"/>
      <c r="MKH1" s="27"/>
      <c r="MKI1" s="27"/>
      <c r="MKJ1" s="27"/>
      <c r="MKK1" s="27"/>
      <c r="MKL1" s="27"/>
      <c r="MKM1" s="27"/>
      <c r="MKN1" s="27"/>
      <c r="MKO1" s="27"/>
      <c r="MKP1" s="27"/>
      <c r="MKQ1" s="27"/>
      <c r="MKR1" s="27"/>
      <c r="MKS1" s="27"/>
      <c r="MKT1" s="27"/>
      <c r="MKU1" s="27"/>
      <c r="MKV1" s="27"/>
      <c r="MKW1" s="27"/>
      <c r="MKX1" s="27"/>
      <c r="MKY1" s="27"/>
      <c r="MKZ1" s="27"/>
      <c r="MLA1" s="27"/>
      <c r="MLB1" s="27"/>
      <c r="MLC1" s="27"/>
      <c r="MLD1" s="27"/>
      <c r="MLE1" s="27"/>
      <c r="MLF1" s="27"/>
      <c r="MLG1" s="27"/>
      <c r="MLH1" s="27"/>
      <c r="MLI1" s="27"/>
      <c r="MLJ1" s="27"/>
      <c r="MLK1" s="27"/>
      <c r="MLL1" s="27"/>
      <c r="MLM1" s="27"/>
      <c r="MLN1" s="27"/>
      <c r="MLO1" s="27"/>
      <c r="MLP1" s="27"/>
      <c r="MLQ1" s="27"/>
      <c r="MLR1" s="27"/>
      <c r="MLS1" s="27"/>
      <c r="MLT1" s="27"/>
      <c r="MLU1" s="27"/>
      <c r="MLV1" s="27"/>
      <c r="MLW1" s="27"/>
      <c r="MLX1" s="27"/>
      <c r="MLY1" s="27"/>
      <c r="MLZ1" s="27"/>
      <c r="MMA1" s="27"/>
      <c r="MMB1" s="27"/>
      <c r="MMC1" s="27"/>
      <c r="MMD1" s="27"/>
      <c r="MME1" s="27"/>
      <c r="MMF1" s="27"/>
      <c r="MMG1" s="27"/>
      <c r="MMH1" s="27"/>
      <c r="MMI1" s="27"/>
      <c r="MMJ1" s="27"/>
      <c r="MMK1" s="27"/>
      <c r="MML1" s="27"/>
      <c r="MMM1" s="27"/>
      <c r="MMN1" s="27"/>
      <c r="MMO1" s="27"/>
      <c r="MMP1" s="27"/>
      <c r="MMQ1" s="27"/>
      <c r="MMR1" s="27"/>
      <c r="MMS1" s="27"/>
      <c r="MMT1" s="27"/>
      <c r="MMU1" s="27"/>
      <c r="MMV1" s="27"/>
      <c r="MMW1" s="27"/>
      <c r="MMX1" s="27"/>
      <c r="MMY1" s="27"/>
      <c r="MMZ1" s="27"/>
      <c r="MNA1" s="27"/>
      <c r="MNB1" s="27"/>
      <c r="MNC1" s="27"/>
      <c r="MND1" s="27"/>
      <c r="MNE1" s="27"/>
      <c r="MNF1" s="27"/>
      <c r="MNG1" s="27"/>
      <c r="MNH1" s="27"/>
      <c r="MNI1" s="27"/>
      <c r="MNJ1" s="27"/>
      <c r="MNK1" s="27"/>
      <c r="MNL1" s="27"/>
      <c r="MNM1" s="27"/>
      <c r="MNN1" s="27"/>
      <c r="MNO1" s="27"/>
      <c r="MNP1" s="27"/>
      <c r="MNQ1" s="27"/>
      <c r="MNR1" s="27"/>
      <c r="MNS1" s="27"/>
      <c r="MNT1" s="27"/>
      <c r="MNU1" s="27"/>
      <c r="MNV1" s="27"/>
      <c r="MNW1" s="27"/>
      <c r="MNX1" s="27"/>
      <c r="MNY1" s="27"/>
      <c r="MNZ1" s="27"/>
      <c r="MOA1" s="27"/>
      <c r="MOB1" s="27"/>
      <c r="MOC1" s="27"/>
      <c r="MOD1" s="27"/>
      <c r="MOE1" s="27"/>
      <c r="MOF1" s="27"/>
      <c r="MOG1" s="27"/>
      <c r="MOH1" s="27"/>
      <c r="MOI1" s="27"/>
      <c r="MOJ1" s="27"/>
      <c r="MOK1" s="27"/>
      <c r="MOL1" s="27"/>
      <c r="MOM1" s="27"/>
      <c r="MON1" s="27"/>
      <c r="MOO1" s="27"/>
      <c r="MOP1" s="27"/>
      <c r="MOQ1" s="27"/>
      <c r="MOR1" s="27"/>
      <c r="MOS1" s="27"/>
      <c r="MOT1" s="27"/>
      <c r="MOU1" s="27"/>
      <c r="MOV1" s="27"/>
      <c r="MOW1" s="27"/>
      <c r="MOX1" s="27"/>
      <c r="MOY1" s="27"/>
      <c r="MOZ1" s="27"/>
      <c r="MPA1" s="27"/>
      <c r="MPB1" s="27"/>
      <c r="MPC1" s="27"/>
      <c r="MPD1" s="27"/>
      <c r="MPE1" s="27"/>
      <c r="MPF1" s="27"/>
      <c r="MPG1" s="27"/>
      <c r="MPH1" s="27"/>
      <c r="MPI1" s="27"/>
      <c r="MPJ1" s="27"/>
      <c r="MPK1" s="27"/>
      <c r="MPL1" s="27"/>
      <c r="MPM1" s="27"/>
      <c r="MPN1" s="27"/>
      <c r="MPO1" s="27"/>
      <c r="MPP1" s="27"/>
      <c r="MPQ1" s="27"/>
      <c r="MPR1" s="27"/>
      <c r="MPS1" s="27"/>
      <c r="MPT1" s="27"/>
      <c r="MPU1" s="27"/>
      <c r="MPV1" s="27"/>
      <c r="MPW1" s="27"/>
      <c r="MPX1" s="27"/>
      <c r="MPY1" s="27"/>
      <c r="MPZ1" s="27"/>
      <c r="MQA1" s="27"/>
      <c r="MQB1" s="27"/>
      <c r="MQC1" s="27"/>
      <c r="MQD1" s="27"/>
      <c r="MQE1" s="27"/>
      <c r="MQF1" s="27"/>
      <c r="MQG1" s="27"/>
      <c r="MQH1" s="27"/>
      <c r="MQI1" s="27"/>
      <c r="MQJ1" s="27"/>
      <c r="MQK1" s="27"/>
      <c r="MQL1" s="27"/>
      <c r="MQM1" s="27"/>
      <c r="MQN1" s="27"/>
      <c r="MQO1" s="27"/>
      <c r="MQP1" s="27"/>
      <c r="MQQ1" s="27"/>
      <c r="MQR1" s="27"/>
      <c r="MQS1" s="27"/>
      <c r="MQT1" s="27"/>
      <c r="MQU1" s="27"/>
      <c r="MQV1" s="27"/>
      <c r="MQW1" s="27"/>
      <c r="MQX1" s="27"/>
      <c r="MQY1" s="27"/>
      <c r="MQZ1" s="27"/>
      <c r="MRA1" s="27"/>
      <c r="MRB1" s="27"/>
      <c r="MRC1" s="27"/>
      <c r="MRD1" s="27"/>
      <c r="MRE1" s="27"/>
      <c r="MRF1" s="27"/>
      <c r="MRG1" s="27"/>
      <c r="MRH1" s="27"/>
      <c r="MRI1" s="27"/>
      <c r="MRJ1" s="27"/>
      <c r="MRK1" s="27"/>
      <c r="MRL1" s="27"/>
      <c r="MRM1" s="27"/>
      <c r="MRN1" s="27"/>
      <c r="MRO1" s="27"/>
      <c r="MRP1" s="27"/>
      <c r="MRQ1" s="27"/>
      <c r="MRR1" s="27"/>
      <c r="MRS1" s="27"/>
      <c r="MRT1" s="27"/>
      <c r="MRU1" s="27"/>
      <c r="MRV1" s="27"/>
      <c r="MRW1" s="27"/>
      <c r="MRX1" s="27"/>
      <c r="MRY1" s="27"/>
      <c r="MRZ1" s="27"/>
      <c r="MSA1" s="27"/>
      <c r="MSB1" s="27"/>
      <c r="MSC1" s="27"/>
      <c r="MSD1" s="27"/>
      <c r="MSE1" s="27"/>
      <c r="MSF1" s="27"/>
      <c r="MSG1" s="27"/>
      <c r="MSH1" s="27"/>
      <c r="MSI1" s="27"/>
      <c r="MSJ1" s="27"/>
      <c r="MSK1" s="27"/>
      <c r="MSL1" s="27"/>
      <c r="MSM1" s="27"/>
      <c r="MSN1" s="27"/>
      <c r="MSO1" s="27"/>
      <c r="MSP1" s="27"/>
      <c r="MSQ1" s="27"/>
      <c r="MSR1" s="27"/>
      <c r="MSS1" s="27"/>
      <c r="MST1" s="27"/>
      <c r="MSU1" s="27"/>
      <c r="MSV1" s="27"/>
      <c r="MSW1" s="27"/>
      <c r="MSX1" s="27"/>
      <c r="MSY1" s="27"/>
      <c r="MSZ1" s="27"/>
      <c r="MTA1" s="27"/>
      <c r="MTB1" s="27"/>
      <c r="MTC1" s="27"/>
      <c r="MTD1" s="27"/>
      <c r="MTE1" s="27"/>
      <c r="MTF1" s="27"/>
      <c r="MTG1" s="27"/>
      <c r="MTH1" s="27"/>
      <c r="MTI1" s="27"/>
      <c r="MTJ1" s="27"/>
      <c r="MTK1" s="27"/>
      <c r="MTL1" s="27"/>
      <c r="MTM1" s="27"/>
      <c r="MTN1" s="27"/>
      <c r="MTO1" s="27"/>
      <c r="MTP1" s="27"/>
      <c r="MTQ1" s="27"/>
      <c r="MTR1" s="27"/>
      <c r="MTS1" s="27"/>
      <c r="MTT1" s="27"/>
      <c r="MTU1" s="27"/>
      <c r="MTV1" s="27"/>
      <c r="MTW1" s="27"/>
      <c r="MTX1" s="27"/>
      <c r="MTY1" s="27"/>
      <c r="MTZ1" s="27"/>
      <c r="MUA1" s="27"/>
      <c r="MUB1" s="27"/>
      <c r="MUC1" s="27"/>
      <c r="MUD1" s="27"/>
      <c r="MUE1" s="27"/>
      <c r="MUF1" s="27"/>
      <c r="MUG1" s="27"/>
      <c r="MUH1" s="27"/>
      <c r="MUI1" s="27"/>
      <c r="MUJ1" s="27"/>
      <c r="MUK1" s="27"/>
      <c r="MUL1" s="27"/>
      <c r="MUM1" s="27"/>
      <c r="MUN1" s="27"/>
      <c r="MUO1" s="27"/>
      <c r="MUP1" s="27"/>
      <c r="MUQ1" s="27"/>
      <c r="MUR1" s="27"/>
      <c r="MUS1" s="27"/>
      <c r="MUT1" s="27"/>
      <c r="MUU1" s="27"/>
      <c r="MUV1" s="27"/>
      <c r="MUW1" s="27"/>
      <c r="MUX1" s="27"/>
      <c r="MUY1" s="27"/>
      <c r="MUZ1" s="27"/>
      <c r="MVA1" s="27"/>
      <c r="MVB1" s="27"/>
      <c r="MVC1" s="27"/>
      <c r="MVD1" s="27"/>
      <c r="MVE1" s="27"/>
      <c r="MVF1" s="27"/>
      <c r="MVG1" s="27"/>
      <c r="MVH1" s="27"/>
      <c r="MVI1" s="27"/>
      <c r="MVJ1" s="27"/>
      <c r="MVK1" s="27"/>
      <c r="MVL1" s="27"/>
      <c r="MVM1" s="27"/>
      <c r="MVN1" s="27"/>
      <c r="MVO1" s="27"/>
      <c r="MVP1" s="27"/>
      <c r="MVQ1" s="27"/>
      <c r="MVR1" s="27"/>
      <c r="MVS1" s="27"/>
      <c r="MVT1" s="27"/>
      <c r="MVU1" s="27"/>
      <c r="MVV1" s="27"/>
      <c r="MVW1" s="27"/>
      <c r="MVX1" s="27"/>
      <c r="MVY1" s="27"/>
      <c r="MVZ1" s="27"/>
      <c r="MWA1" s="27"/>
      <c r="MWB1" s="27"/>
      <c r="MWC1" s="27"/>
      <c r="MWD1" s="27"/>
      <c r="MWE1" s="27"/>
      <c r="MWF1" s="27"/>
      <c r="MWG1" s="27"/>
      <c r="MWH1" s="27"/>
      <c r="MWI1" s="27"/>
      <c r="MWJ1" s="27"/>
      <c r="MWK1" s="27"/>
      <c r="MWL1" s="27"/>
      <c r="MWM1" s="27"/>
      <c r="MWN1" s="27"/>
      <c r="MWO1" s="27"/>
      <c r="MWP1" s="27"/>
      <c r="MWQ1" s="27"/>
      <c r="MWR1" s="27"/>
      <c r="MWS1" s="27"/>
      <c r="MWT1" s="27"/>
      <c r="MWU1" s="27"/>
      <c r="MWV1" s="27"/>
      <c r="MWW1" s="27"/>
      <c r="MWX1" s="27"/>
      <c r="MWY1" s="27"/>
      <c r="MWZ1" s="27"/>
      <c r="MXA1" s="27"/>
      <c r="MXB1" s="27"/>
      <c r="MXC1" s="27"/>
      <c r="MXD1" s="27"/>
      <c r="MXE1" s="27"/>
      <c r="MXF1" s="27"/>
      <c r="MXG1" s="27"/>
      <c r="MXH1" s="27"/>
      <c r="MXI1" s="27"/>
      <c r="MXJ1" s="27"/>
      <c r="MXK1" s="27"/>
      <c r="MXL1" s="27"/>
      <c r="MXM1" s="27"/>
      <c r="MXN1" s="27"/>
      <c r="MXO1" s="27"/>
      <c r="MXP1" s="27"/>
      <c r="MXQ1" s="27"/>
      <c r="MXR1" s="27"/>
      <c r="MXS1" s="27"/>
      <c r="MXT1" s="27"/>
      <c r="MXU1" s="27"/>
      <c r="MXV1" s="27"/>
      <c r="MXW1" s="27"/>
      <c r="MXX1" s="27"/>
      <c r="MXY1" s="27"/>
      <c r="MXZ1" s="27"/>
      <c r="MYA1" s="27"/>
      <c r="MYB1" s="27"/>
      <c r="MYC1" s="27"/>
      <c r="MYD1" s="27"/>
      <c r="MYE1" s="27"/>
      <c r="MYF1" s="27"/>
      <c r="MYG1" s="27"/>
      <c r="MYH1" s="27"/>
      <c r="MYI1" s="27"/>
      <c r="MYJ1" s="27"/>
      <c r="MYK1" s="27"/>
      <c r="MYL1" s="27"/>
      <c r="MYM1" s="27"/>
      <c r="MYN1" s="27"/>
      <c r="MYO1" s="27"/>
      <c r="MYP1" s="27"/>
      <c r="MYQ1" s="27"/>
      <c r="MYR1" s="27"/>
      <c r="MYS1" s="27"/>
      <c r="MYT1" s="27"/>
      <c r="MYU1" s="27"/>
      <c r="MYV1" s="27"/>
      <c r="MYW1" s="27"/>
      <c r="MYX1" s="27"/>
      <c r="MYY1" s="27"/>
      <c r="MYZ1" s="27"/>
      <c r="MZA1" s="27"/>
      <c r="MZB1" s="27"/>
      <c r="MZC1" s="27"/>
      <c r="MZD1" s="27"/>
      <c r="MZE1" s="27"/>
      <c r="MZF1" s="27"/>
      <c r="MZG1" s="27"/>
      <c r="MZH1" s="27"/>
      <c r="MZI1" s="27"/>
      <c r="MZJ1" s="27"/>
      <c r="MZK1" s="27"/>
      <c r="MZL1" s="27"/>
      <c r="MZM1" s="27"/>
      <c r="MZN1" s="27"/>
      <c r="MZO1" s="27"/>
      <c r="MZP1" s="27"/>
      <c r="MZQ1" s="27"/>
      <c r="MZR1" s="27"/>
      <c r="MZS1" s="27"/>
      <c r="MZT1" s="27"/>
      <c r="MZU1" s="27"/>
      <c r="MZV1" s="27"/>
      <c r="MZW1" s="27"/>
      <c r="MZX1" s="27"/>
      <c r="MZY1" s="27"/>
      <c r="MZZ1" s="27"/>
      <c r="NAA1" s="27"/>
      <c r="NAB1" s="27"/>
      <c r="NAC1" s="27"/>
      <c r="NAD1" s="27"/>
      <c r="NAE1" s="27"/>
      <c r="NAF1" s="27"/>
      <c r="NAG1" s="27"/>
      <c r="NAH1" s="27"/>
      <c r="NAI1" s="27"/>
      <c r="NAJ1" s="27"/>
      <c r="NAK1" s="27"/>
      <c r="NAL1" s="27"/>
      <c r="NAM1" s="27"/>
      <c r="NAN1" s="27"/>
      <c r="NAO1" s="27"/>
      <c r="NAP1" s="27"/>
      <c r="NAQ1" s="27"/>
      <c r="NAR1" s="27"/>
      <c r="NAS1" s="27"/>
      <c r="NAT1" s="27"/>
      <c r="NAU1" s="27"/>
      <c r="NAV1" s="27"/>
      <c r="NAW1" s="27"/>
      <c r="NAX1" s="27"/>
      <c r="NAY1" s="27"/>
      <c r="NAZ1" s="27"/>
      <c r="NBA1" s="27"/>
      <c r="NBB1" s="27"/>
      <c r="NBC1" s="27"/>
      <c r="NBD1" s="27"/>
      <c r="NBE1" s="27"/>
      <c r="NBF1" s="27"/>
      <c r="NBG1" s="27"/>
      <c r="NBH1" s="27"/>
      <c r="NBI1" s="27"/>
      <c r="NBJ1" s="27"/>
      <c r="NBK1" s="27"/>
      <c r="NBL1" s="27"/>
      <c r="NBM1" s="27"/>
      <c r="NBN1" s="27"/>
      <c r="NBO1" s="27"/>
      <c r="NBP1" s="27"/>
      <c r="NBQ1" s="27"/>
      <c r="NBR1" s="27"/>
      <c r="NBS1" s="27"/>
      <c r="NBT1" s="27"/>
      <c r="NBU1" s="27"/>
      <c r="NBV1" s="27"/>
      <c r="NBW1" s="27"/>
      <c r="NBX1" s="27"/>
      <c r="NBY1" s="27"/>
      <c r="NBZ1" s="27"/>
      <c r="NCA1" s="27"/>
      <c r="NCB1" s="27"/>
      <c r="NCC1" s="27"/>
      <c r="NCD1" s="27"/>
      <c r="NCE1" s="27"/>
      <c r="NCF1" s="27"/>
      <c r="NCG1" s="27"/>
      <c r="NCH1" s="27"/>
      <c r="NCI1" s="27"/>
      <c r="NCJ1" s="27"/>
      <c r="NCK1" s="27"/>
      <c r="NCL1" s="27"/>
      <c r="NCM1" s="27"/>
      <c r="NCN1" s="27"/>
      <c r="NCO1" s="27"/>
      <c r="NCP1" s="27"/>
      <c r="NCQ1" s="27"/>
      <c r="NCR1" s="27"/>
      <c r="NCS1" s="27"/>
      <c r="NCT1" s="27"/>
      <c r="NCU1" s="27"/>
      <c r="NCV1" s="27"/>
      <c r="NCW1" s="27"/>
      <c r="NCX1" s="27"/>
      <c r="NCY1" s="27"/>
      <c r="NCZ1" s="27"/>
      <c r="NDA1" s="27"/>
      <c r="NDB1" s="27"/>
      <c r="NDC1" s="27"/>
      <c r="NDD1" s="27"/>
      <c r="NDE1" s="27"/>
      <c r="NDF1" s="27"/>
      <c r="NDG1" s="27"/>
      <c r="NDH1" s="27"/>
      <c r="NDI1" s="27"/>
      <c r="NDJ1" s="27"/>
      <c r="NDK1" s="27"/>
      <c r="NDL1" s="27"/>
      <c r="NDM1" s="27"/>
      <c r="NDN1" s="27"/>
      <c r="NDO1" s="27"/>
      <c r="NDP1" s="27"/>
      <c r="NDQ1" s="27"/>
      <c r="NDR1" s="27"/>
      <c r="NDS1" s="27"/>
      <c r="NDT1" s="27"/>
      <c r="NDU1" s="27"/>
      <c r="NDV1" s="27"/>
      <c r="NDW1" s="27"/>
      <c r="NDX1" s="27"/>
      <c r="NDY1" s="27"/>
      <c r="NDZ1" s="27"/>
      <c r="NEA1" s="27"/>
      <c r="NEB1" s="27"/>
      <c r="NEC1" s="27"/>
      <c r="NED1" s="27"/>
      <c r="NEE1" s="27"/>
      <c r="NEF1" s="27"/>
      <c r="NEG1" s="27"/>
      <c r="NEH1" s="27"/>
      <c r="NEI1" s="27"/>
      <c r="NEJ1" s="27"/>
      <c r="NEK1" s="27"/>
      <c r="NEL1" s="27"/>
      <c r="NEM1" s="27"/>
      <c r="NEN1" s="27"/>
      <c r="NEO1" s="27"/>
      <c r="NEP1" s="27"/>
      <c r="NEQ1" s="27"/>
      <c r="NER1" s="27"/>
      <c r="NES1" s="27"/>
      <c r="NET1" s="27"/>
      <c r="NEU1" s="27"/>
      <c r="NEV1" s="27"/>
      <c r="NEW1" s="27"/>
      <c r="NEX1" s="27"/>
      <c r="NEY1" s="27"/>
      <c r="NEZ1" s="27"/>
      <c r="NFA1" s="27"/>
      <c r="NFB1" s="27"/>
      <c r="NFC1" s="27"/>
      <c r="NFD1" s="27"/>
      <c r="NFE1" s="27"/>
      <c r="NFF1" s="27"/>
      <c r="NFG1" s="27"/>
      <c r="NFH1" s="27"/>
      <c r="NFI1" s="27"/>
      <c r="NFJ1" s="27"/>
      <c r="NFK1" s="27"/>
      <c r="NFL1" s="27"/>
      <c r="NFM1" s="27"/>
      <c r="NFN1" s="27"/>
      <c r="NFO1" s="27"/>
      <c r="NFP1" s="27"/>
      <c r="NFQ1" s="27"/>
      <c r="NFR1" s="27"/>
      <c r="NFS1" s="27"/>
      <c r="NFT1" s="27"/>
      <c r="NFU1" s="27"/>
      <c r="NFV1" s="27"/>
      <c r="NFW1" s="27"/>
      <c r="NFX1" s="27"/>
      <c r="NFY1" s="27"/>
      <c r="NFZ1" s="27"/>
      <c r="NGA1" s="27"/>
      <c r="NGB1" s="27"/>
      <c r="NGC1" s="27"/>
      <c r="NGD1" s="27"/>
      <c r="NGE1" s="27"/>
      <c r="NGF1" s="27"/>
      <c r="NGG1" s="27"/>
      <c r="NGH1" s="27"/>
      <c r="NGI1" s="27"/>
      <c r="NGJ1" s="27"/>
      <c r="NGK1" s="27"/>
      <c r="NGL1" s="27"/>
      <c r="NGM1" s="27"/>
      <c r="NGN1" s="27"/>
      <c r="NGO1" s="27"/>
      <c r="NGP1" s="27"/>
      <c r="NGQ1" s="27"/>
      <c r="NGR1" s="27"/>
      <c r="NGS1" s="27"/>
      <c r="NGT1" s="27"/>
      <c r="NGU1" s="27"/>
      <c r="NGV1" s="27"/>
      <c r="NGW1" s="27"/>
      <c r="NGX1" s="27"/>
      <c r="NGY1" s="27"/>
      <c r="NGZ1" s="27"/>
      <c r="NHA1" s="27"/>
      <c r="NHB1" s="27"/>
      <c r="NHC1" s="27"/>
      <c r="NHD1" s="27"/>
      <c r="NHE1" s="27"/>
      <c r="NHF1" s="27"/>
      <c r="NHG1" s="27"/>
      <c r="NHH1" s="27"/>
      <c r="NHI1" s="27"/>
      <c r="NHJ1" s="27"/>
      <c r="NHK1" s="27"/>
      <c r="NHL1" s="27"/>
      <c r="NHM1" s="27"/>
      <c r="NHN1" s="27"/>
      <c r="NHO1" s="27"/>
      <c r="NHP1" s="27"/>
      <c r="NHQ1" s="27"/>
      <c r="NHR1" s="27"/>
      <c r="NHS1" s="27"/>
      <c r="NHT1" s="27"/>
      <c r="NHU1" s="27"/>
      <c r="NHV1" s="27"/>
      <c r="NHW1" s="27"/>
      <c r="NHX1" s="27"/>
      <c r="NHY1" s="27"/>
      <c r="NHZ1" s="27"/>
      <c r="NIA1" s="27"/>
      <c r="NIB1" s="27"/>
      <c r="NIC1" s="27"/>
      <c r="NID1" s="27"/>
      <c r="NIE1" s="27"/>
      <c r="NIF1" s="27"/>
      <c r="NIG1" s="27"/>
      <c r="NIH1" s="27"/>
      <c r="NII1" s="27"/>
      <c r="NIJ1" s="27"/>
      <c r="NIK1" s="27"/>
      <c r="NIL1" s="27"/>
      <c r="NIM1" s="27"/>
      <c r="NIN1" s="27"/>
      <c r="NIO1" s="27"/>
      <c r="NIP1" s="27"/>
      <c r="NIQ1" s="27"/>
      <c r="NIR1" s="27"/>
      <c r="NIS1" s="27"/>
      <c r="NIT1" s="27"/>
      <c r="NIU1" s="27"/>
      <c r="NIV1" s="27"/>
      <c r="NIW1" s="27"/>
      <c r="NIX1" s="27"/>
      <c r="NIY1" s="27"/>
      <c r="NIZ1" s="27"/>
      <c r="NJA1" s="27"/>
      <c r="NJB1" s="27"/>
      <c r="NJC1" s="27"/>
      <c r="NJD1" s="27"/>
      <c r="NJE1" s="27"/>
      <c r="NJF1" s="27"/>
      <c r="NJG1" s="27"/>
      <c r="NJH1" s="27"/>
      <c r="NJI1" s="27"/>
      <c r="NJJ1" s="27"/>
      <c r="NJK1" s="27"/>
      <c r="NJL1" s="27"/>
      <c r="NJM1" s="27"/>
      <c r="NJN1" s="27"/>
      <c r="NJO1" s="27"/>
      <c r="NJP1" s="27"/>
      <c r="NJQ1" s="27"/>
      <c r="NJR1" s="27"/>
      <c r="NJS1" s="27"/>
      <c r="NJT1" s="27"/>
      <c r="NJU1" s="27"/>
      <c r="NJV1" s="27"/>
      <c r="NJW1" s="27"/>
      <c r="NJX1" s="27"/>
      <c r="NJY1" s="27"/>
      <c r="NJZ1" s="27"/>
      <c r="NKA1" s="27"/>
      <c r="NKB1" s="27"/>
      <c r="NKC1" s="27"/>
      <c r="NKD1" s="27"/>
      <c r="NKE1" s="27"/>
      <c r="NKF1" s="27"/>
      <c r="NKG1" s="27"/>
      <c r="NKH1" s="27"/>
      <c r="NKI1" s="27"/>
      <c r="NKJ1" s="27"/>
      <c r="NKK1" s="27"/>
      <c r="NKL1" s="27"/>
      <c r="NKM1" s="27"/>
      <c r="NKN1" s="27"/>
      <c r="NKO1" s="27"/>
      <c r="NKP1" s="27"/>
      <c r="NKQ1" s="27"/>
      <c r="NKR1" s="27"/>
      <c r="NKS1" s="27"/>
      <c r="NKT1" s="27"/>
      <c r="NKU1" s="27"/>
      <c r="NKV1" s="27"/>
      <c r="NKW1" s="27"/>
      <c r="NKX1" s="27"/>
      <c r="NKY1" s="27"/>
      <c r="NKZ1" s="27"/>
      <c r="NLA1" s="27"/>
      <c r="NLB1" s="27"/>
      <c r="NLC1" s="27"/>
      <c r="NLD1" s="27"/>
      <c r="NLE1" s="27"/>
      <c r="NLF1" s="27"/>
      <c r="NLG1" s="27"/>
      <c r="NLH1" s="27"/>
      <c r="NLI1" s="27"/>
      <c r="NLJ1" s="27"/>
      <c r="NLK1" s="27"/>
      <c r="NLL1" s="27"/>
      <c r="NLM1" s="27"/>
      <c r="NLN1" s="27"/>
      <c r="NLO1" s="27"/>
      <c r="NLP1" s="27"/>
      <c r="NLQ1" s="27"/>
      <c r="NLR1" s="27"/>
      <c r="NLS1" s="27"/>
      <c r="NLT1" s="27"/>
      <c r="NLU1" s="27"/>
      <c r="NLV1" s="27"/>
      <c r="NLW1" s="27"/>
      <c r="NLX1" s="27"/>
      <c r="NLY1" s="27"/>
      <c r="NLZ1" s="27"/>
      <c r="NMA1" s="27"/>
      <c r="NMB1" s="27"/>
      <c r="NMC1" s="27"/>
      <c r="NMD1" s="27"/>
      <c r="NME1" s="27"/>
      <c r="NMF1" s="27"/>
      <c r="NMG1" s="27"/>
      <c r="NMH1" s="27"/>
      <c r="NMI1" s="27"/>
      <c r="NMJ1" s="27"/>
      <c r="NMK1" s="27"/>
      <c r="NML1" s="27"/>
      <c r="NMM1" s="27"/>
      <c r="NMN1" s="27"/>
      <c r="NMO1" s="27"/>
      <c r="NMP1" s="27"/>
      <c r="NMQ1" s="27"/>
      <c r="NMR1" s="27"/>
      <c r="NMS1" s="27"/>
      <c r="NMT1" s="27"/>
      <c r="NMU1" s="27"/>
      <c r="NMV1" s="27"/>
      <c r="NMW1" s="27"/>
      <c r="NMX1" s="27"/>
      <c r="NMY1" s="27"/>
      <c r="NMZ1" s="27"/>
      <c r="NNA1" s="27"/>
      <c r="NNB1" s="27"/>
      <c r="NNC1" s="27"/>
      <c r="NND1" s="27"/>
      <c r="NNE1" s="27"/>
      <c r="NNF1" s="27"/>
      <c r="NNG1" s="27"/>
      <c r="NNH1" s="27"/>
      <c r="NNI1" s="27"/>
      <c r="NNJ1" s="27"/>
      <c r="NNK1" s="27"/>
      <c r="NNL1" s="27"/>
      <c r="NNM1" s="27"/>
      <c r="NNN1" s="27"/>
      <c r="NNO1" s="27"/>
      <c r="NNP1" s="27"/>
      <c r="NNQ1" s="27"/>
      <c r="NNR1" s="27"/>
      <c r="NNS1" s="27"/>
      <c r="NNT1" s="27"/>
      <c r="NNU1" s="27"/>
      <c r="NNV1" s="27"/>
      <c r="NNW1" s="27"/>
      <c r="NNX1" s="27"/>
      <c r="NNY1" s="27"/>
      <c r="NNZ1" s="27"/>
      <c r="NOA1" s="27"/>
      <c r="NOB1" s="27"/>
      <c r="NOC1" s="27"/>
      <c r="NOD1" s="27"/>
      <c r="NOE1" s="27"/>
      <c r="NOF1" s="27"/>
      <c r="NOG1" s="27"/>
      <c r="NOH1" s="27"/>
      <c r="NOI1" s="27"/>
      <c r="NOJ1" s="27"/>
      <c r="NOK1" s="27"/>
      <c r="NOL1" s="27"/>
      <c r="NOM1" s="27"/>
      <c r="NON1" s="27"/>
      <c r="NOO1" s="27"/>
      <c r="NOP1" s="27"/>
      <c r="NOQ1" s="27"/>
      <c r="NOR1" s="27"/>
      <c r="NOS1" s="27"/>
      <c r="NOT1" s="27"/>
      <c r="NOU1" s="27"/>
      <c r="NOV1" s="27"/>
      <c r="NOW1" s="27"/>
      <c r="NOX1" s="27"/>
      <c r="NOY1" s="27"/>
      <c r="NOZ1" s="27"/>
      <c r="NPA1" s="27"/>
      <c r="NPB1" s="27"/>
      <c r="NPC1" s="27"/>
      <c r="NPD1" s="27"/>
      <c r="NPE1" s="27"/>
      <c r="NPF1" s="27"/>
      <c r="NPG1" s="27"/>
      <c r="NPH1" s="27"/>
      <c r="NPI1" s="27"/>
      <c r="NPJ1" s="27"/>
      <c r="NPK1" s="27"/>
      <c r="NPL1" s="27"/>
      <c r="NPM1" s="27"/>
      <c r="NPN1" s="27"/>
      <c r="NPO1" s="27"/>
      <c r="NPP1" s="27"/>
      <c r="NPQ1" s="27"/>
      <c r="NPR1" s="27"/>
      <c r="NPS1" s="27"/>
      <c r="NPT1" s="27"/>
      <c r="NPU1" s="27"/>
      <c r="NPV1" s="27"/>
      <c r="NPW1" s="27"/>
      <c r="NPX1" s="27"/>
      <c r="NPY1" s="27"/>
      <c r="NPZ1" s="27"/>
      <c r="NQA1" s="27"/>
      <c r="NQB1" s="27"/>
      <c r="NQC1" s="27"/>
      <c r="NQD1" s="27"/>
      <c r="NQE1" s="27"/>
      <c r="NQF1" s="27"/>
      <c r="NQG1" s="27"/>
      <c r="NQH1" s="27"/>
      <c r="NQI1" s="27"/>
      <c r="NQJ1" s="27"/>
      <c r="NQK1" s="27"/>
      <c r="NQL1" s="27"/>
      <c r="NQM1" s="27"/>
      <c r="NQN1" s="27"/>
      <c r="NQO1" s="27"/>
      <c r="NQP1" s="27"/>
      <c r="NQQ1" s="27"/>
      <c r="NQR1" s="27"/>
      <c r="NQS1" s="27"/>
      <c r="NQT1" s="27"/>
      <c r="NQU1" s="27"/>
      <c r="NQV1" s="27"/>
      <c r="NQW1" s="27"/>
      <c r="NQX1" s="27"/>
      <c r="NQY1" s="27"/>
      <c r="NQZ1" s="27"/>
      <c r="NRA1" s="27"/>
      <c r="NRB1" s="27"/>
      <c r="NRC1" s="27"/>
      <c r="NRD1" s="27"/>
      <c r="NRE1" s="27"/>
      <c r="NRF1" s="27"/>
      <c r="NRG1" s="27"/>
      <c r="NRH1" s="27"/>
      <c r="NRI1" s="27"/>
      <c r="NRJ1" s="27"/>
      <c r="NRK1" s="27"/>
      <c r="NRL1" s="27"/>
      <c r="NRM1" s="27"/>
      <c r="NRN1" s="27"/>
      <c r="NRO1" s="27"/>
      <c r="NRP1" s="27"/>
      <c r="NRQ1" s="27"/>
      <c r="NRR1" s="27"/>
      <c r="NRS1" s="27"/>
      <c r="NRT1" s="27"/>
      <c r="NRU1" s="27"/>
      <c r="NRV1" s="27"/>
      <c r="NRW1" s="27"/>
      <c r="NRX1" s="27"/>
      <c r="NRY1" s="27"/>
      <c r="NRZ1" s="27"/>
      <c r="NSA1" s="27"/>
      <c r="NSB1" s="27"/>
      <c r="NSC1" s="27"/>
      <c r="NSD1" s="27"/>
      <c r="NSE1" s="27"/>
      <c r="NSF1" s="27"/>
      <c r="NSG1" s="27"/>
      <c r="NSH1" s="27"/>
      <c r="NSI1" s="27"/>
      <c r="NSJ1" s="27"/>
      <c r="NSK1" s="27"/>
      <c r="NSL1" s="27"/>
      <c r="NSM1" s="27"/>
      <c r="NSN1" s="27"/>
      <c r="NSO1" s="27"/>
      <c r="NSP1" s="27"/>
      <c r="NSQ1" s="27"/>
      <c r="NSR1" s="27"/>
      <c r="NSS1" s="27"/>
      <c r="NST1" s="27"/>
      <c r="NSU1" s="27"/>
      <c r="NSV1" s="27"/>
      <c r="NSW1" s="27"/>
      <c r="NSX1" s="27"/>
      <c r="NSY1" s="27"/>
      <c r="NSZ1" s="27"/>
      <c r="NTA1" s="27"/>
      <c r="NTB1" s="27"/>
      <c r="NTC1" s="27"/>
      <c r="NTD1" s="27"/>
      <c r="NTE1" s="27"/>
      <c r="NTF1" s="27"/>
      <c r="NTG1" s="27"/>
      <c r="NTH1" s="27"/>
      <c r="NTI1" s="27"/>
      <c r="NTJ1" s="27"/>
      <c r="NTK1" s="27"/>
      <c r="NTL1" s="27"/>
      <c r="NTM1" s="27"/>
      <c r="NTN1" s="27"/>
      <c r="NTO1" s="27"/>
      <c r="NTP1" s="27"/>
      <c r="NTQ1" s="27"/>
      <c r="NTR1" s="27"/>
      <c r="NTS1" s="27"/>
      <c r="NTT1" s="27"/>
      <c r="NTU1" s="27"/>
      <c r="NTV1" s="27"/>
      <c r="NTW1" s="27"/>
      <c r="NTX1" s="27"/>
      <c r="NTY1" s="27"/>
      <c r="NTZ1" s="27"/>
      <c r="NUA1" s="27"/>
      <c r="NUB1" s="27"/>
      <c r="NUC1" s="27"/>
      <c r="NUD1" s="27"/>
      <c r="NUE1" s="27"/>
      <c r="NUF1" s="27"/>
      <c r="NUG1" s="27"/>
      <c r="NUH1" s="27"/>
      <c r="NUI1" s="27"/>
      <c r="NUJ1" s="27"/>
      <c r="NUK1" s="27"/>
      <c r="NUL1" s="27"/>
      <c r="NUM1" s="27"/>
      <c r="NUN1" s="27"/>
      <c r="NUO1" s="27"/>
      <c r="NUP1" s="27"/>
      <c r="NUQ1" s="27"/>
      <c r="NUR1" s="27"/>
      <c r="NUS1" s="27"/>
      <c r="NUT1" s="27"/>
      <c r="NUU1" s="27"/>
      <c r="NUV1" s="27"/>
      <c r="NUW1" s="27"/>
      <c r="NUX1" s="27"/>
      <c r="NUY1" s="27"/>
      <c r="NUZ1" s="27"/>
      <c r="NVA1" s="27"/>
      <c r="NVB1" s="27"/>
      <c r="NVC1" s="27"/>
      <c r="NVD1" s="27"/>
      <c r="NVE1" s="27"/>
      <c r="NVF1" s="27"/>
      <c r="NVG1" s="27"/>
      <c r="NVH1" s="27"/>
      <c r="NVI1" s="27"/>
      <c r="NVJ1" s="27"/>
      <c r="NVK1" s="27"/>
      <c r="NVL1" s="27"/>
      <c r="NVM1" s="27"/>
      <c r="NVN1" s="27"/>
      <c r="NVO1" s="27"/>
      <c r="NVP1" s="27"/>
      <c r="NVQ1" s="27"/>
      <c r="NVR1" s="27"/>
      <c r="NVS1" s="27"/>
      <c r="NVT1" s="27"/>
      <c r="NVU1" s="27"/>
      <c r="NVV1" s="27"/>
      <c r="NVW1" s="27"/>
      <c r="NVX1" s="27"/>
      <c r="NVY1" s="27"/>
      <c r="NVZ1" s="27"/>
      <c r="NWA1" s="27"/>
      <c r="NWB1" s="27"/>
      <c r="NWC1" s="27"/>
      <c r="NWD1" s="27"/>
      <c r="NWE1" s="27"/>
      <c r="NWF1" s="27"/>
      <c r="NWG1" s="27"/>
      <c r="NWH1" s="27"/>
      <c r="NWI1" s="27"/>
      <c r="NWJ1" s="27"/>
      <c r="NWK1" s="27"/>
      <c r="NWL1" s="27"/>
      <c r="NWM1" s="27"/>
      <c r="NWN1" s="27"/>
      <c r="NWO1" s="27"/>
      <c r="NWP1" s="27"/>
      <c r="NWQ1" s="27"/>
      <c r="NWR1" s="27"/>
      <c r="NWS1" s="27"/>
      <c r="NWT1" s="27"/>
      <c r="NWU1" s="27"/>
      <c r="NWV1" s="27"/>
      <c r="NWW1" s="27"/>
      <c r="NWX1" s="27"/>
      <c r="NWY1" s="27"/>
      <c r="NWZ1" s="27"/>
      <c r="NXA1" s="27"/>
      <c r="NXB1" s="27"/>
      <c r="NXC1" s="27"/>
      <c r="NXD1" s="27"/>
      <c r="NXE1" s="27"/>
      <c r="NXF1" s="27"/>
      <c r="NXG1" s="27"/>
      <c r="NXH1" s="27"/>
      <c r="NXI1" s="27"/>
      <c r="NXJ1" s="27"/>
      <c r="NXK1" s="27"/>
      <c r="NXL1" s="27"/>
      <c r="NXM1" s="27"/>
      <c r="NXN1" s="27"/>
      <c r="NXO1" s="27"/>
      <c r="NXP1" s="27"/>
      <c r="NXQ1" s="27"/>
      <c r="NXR1" s="27"/>
      <c r="NXS1" s="27"/>
      <c r="NXT1" s="27"/>
      <c r="NXU1" s="27"/>
      <c r="NXV1" s="27"/>
      <c r="NXW1" s="27"/>
      <c r="NXX1" s="27"/>
      <c r="NXY1" s="27"/>
      <c r="NXZ1" s="27"/>
      <c r="NYA1" s="27"/>
      <c r="NYB1" s="27"/>
      <c r="NYC1" s="27"/>
      <c r="NYD1" s="27"/>
      <c r="NYE1" s="27"/>
      <c r="NYF1" s="27"/>
      <c r="NYG1" s="27"/>
      <c r="NYH1" s="27"/>
      <c r="NYI1" s="27"/>
      <c r="NYJ1" s="27"/>
      <c r="NYK1" s="27"/>
      <c r="NYL1" s="27"/>
      <c r="NYM1" s="27"/>
      <c r="NYN1" s="27"/>
      <c r="NYO1" s="27"/>
      <c r="NYP1" s="27"/>
      <c r="NYQ1" s="27"/>
      <c r="NYR1" s="27"/>
      <c r="NYS1" s="27"/>
      <c r="NYT1" s="27"/>
      <c r="NYU1" s="27"/>
      <c r="NYV1" s="27"/>
      <c r="NYW1" s="27"/>
      <c r="NYX1" s="27"/>
      <c r="NYY1" s="27"/>
      <c r="NYZ1" s="27"/>
      <c r="NZA1" s="27"/>
      <c r="NZB1" s="27"/>
      <c r="NZC1" s="27"/>
      <c r="NZD1" s="27"/>
      <c r="NZE1" s="27"/>
      <c r="NZF1" s="27"/>
      <c r="NZG1" s="27"/>
      <c r="NZH1" s="27"/>
      <c r="NZI1" s="27"/>
      <c r="NZJ1" s="27"/>
      <c r="NZK1" s="27"/>
      <c r="NZL1" s="27"/>
      <c r="NZM1" s="27"/>
      <c r="NZN1" s="27"/>
      <c r="NZO1" s="27"/>
      <c r="NZP1" s="27"/>
      <c r="NZQ1" s="27"/>
      <c r="NZR1" s="27"/>
      <c r="NZS1" s="27"/>
      <c r="NZT1" s="27"/>
      <c r="NZU1" s="27"/>
      <c r="NZV1" s="27"/>
      <c r="NZW1" s="27"/>
      <c r="NZX1" s="27"/>
      <c r="NZY1" s="27"/>
      <c r="NZZ1" s="27"/>
      <c r="OAA1" s="27"/>
      <c r="OAB1" s="27"/>
      <c r="OAC1" s="27"/>
      <c r="OAD1" s="27"/>
      <c r="OAE1" s="27"/>
      <c r="OAF1" s="27"/>
      <c r="OAG1" s="27"/>
      <c r="OAH1" s="27"/>
      <c r="OAI1" s="27"/>
      <c r="OAJ1" s="27"/>
      <c r="OAK1" s="27"/>
      <c r="OAL1" s="27"/>
      <c r="OAM1" s="27"/>
      <c r="OAN1" s="27"/>
      <c r="OAO1" s="27"/>
      <c r="OAP1" s="27"/>
      <c r="OAQ1" s="27"/>
      <c r="OAR1" s="27"/>
      <c r="OAS1" s="27"/>
      <c r="OAT1" s="27"/>
      <c r="OAU1" s="27"/>
      <c r="OAV1" s="27"/>
      <c r="OAW1" s="27"/>
      <c r="OAX1" s="27"/>
      <c r="OAY1" s="27"/>
      <c r="OAZ1" s="27"/>
      <c r="OBA1" s="27"/>
      <c r="OBB1" s="27"/>
      <c r="OBC1" s="27"/>
      <c r="OBD1" s="27"/>
      <c r="OBE1" s="27"/>
      <c r="OBF1" s="27"/>
      <c r="OBG1" s="27"/>
      <c r="OBH1" s="27"/>
      <c r="OBI1" s="27"/>
      <c r="OBJ1" s="27"/>
      <c r="OBK1" s="27"/>
      <c r="OBL1" s="27"/>
      <c r="OBM1" s="27"/>
      <c r="OBN1" s="27"/>
      <c r="OBO1" s="27"/>
      <c r="OBP1" s="27"/>
      <c r="OBQ1" s="27"/>
      <c r="OBR1" s="27"/>
      <c r="OBS1" s="27"/>
      <c r="OBT1" s="27"/>
      <c r="OBU1" s="27"/>
      <c r="OBV1" s="27"/>
      <c r="OBW1" s="27"/>
      <c r="OBX1" s="27"/>
      <c r="OBY1" s="27"/>
      <c r="OBZ1" s="27"/>
      <c r="OCA1" s="27"/>
      <c r="OCB1" s="27"/>
      <c r="OCC1" s="27"/>
      <c r="OCD1" s="27"/>
      <c r="OCE1" s="27"/>
      <c r="OCF1" s="27"/>
      <c r="OCG1" s="27"/>
      <c r="OCH1" s="27"/>
      <c r="OCI1" s="27"/>
      <c r="OCJ1" s="27"/>
      <c r="OCK1" s="27"/>
      <c r="OCL1" s="27"/>
      <c r="OCM1" s="27"/>
      <c r="OCN1" s="27"/>
      <c r="OCO1" s="27"/>
      <c r="OCP1" s="27"/>
      <c r="OCQ1" s="27"/>
      <c r="OCR1" s="27"/>
      <c r="OCS1" s="27"/>
      <c r="OCT1" s="27"/>
      <c r="OCU1" s="27"/>
      <c r="OCV1" s="27"/>
      <c r="OCW1" s="27"/>
      <c r="OCX1" s="27"/>
      <c r="OCY1" s="27"/>
      <c r="OCZ1" s="27"/>
      <c r="ODA1" s="27"/>
      <c r="ODB1" s="27"/>
      <c r="ODC1" s="27"/>
      <c r="ODD1" s="27"/>
      <c r="ODE1" s="27"/>
      <c r="ODF1" s="27"/>
      <c r="ODG1" s="27"/>
      <c r="ODH1" s="27"/>
      <c r="ODI1" s="27"/>
      <c r="ODJ1" s="27"/>
      <c r="ODK1" s="27"/>
      <c r="ODL1" s="27"/>
      <c r="ODM1" s="27"/>
      <c r="ODN1" s="27"/>
      <c r="ODO1" s="27"/>
      <c r="ODP1" s="27"/>
      <c r="ODQ1" s="27"/>
      <c r="ODR1" s="27"/>
      <c r="ODS1" s="27"/>
      <c r="ODT1" s="27"/>
      <c r="ODU1" s="27"/>
      <c r="ODV1" s="27"/>
      <c r="ODW1" s="27"/>
      <c r="ODX1" s="27"/>
      <c r="ODY1" s="27"/>
      <c r="ODZ1" s="27"/>
      <c r="OEA1" s="27"/>
      <c r="OEB1" s="27"/>
      <c r="OEC1" s="27"/>
      <c r="OED1" s="27"/>
      <c r="OEE1" s="27"/>
      <c r="OEF1" s="27"/>
      <c r="OEG1" s="27"/>
      <c r="OEH1" s="27"/>
      <c r="OEI1" s="27"/>
      <c r="OEJ1" s="27"/>
      <c r="OEK1" s="27"/>
      <c r="OEL1" s="27"/>
      <c r="OEM1" s="27"/>
      <c r="OEN1" s="27"/>
      <c r="OEO1" s="27"/>
      <c r="OEP1" s="27"/>
      <c r="OEQ1" s="27"/>
      <c r="OER1" s="27"/>
      <c r="OES1" s="27"/>
      <c r="OET1" s="27"/>
      <c r="OEU1" s="27"/>
      <c r="OEV1" s="27"/>
      <c r="OEW1" s="27"/>
      <c r="OEX1" s="27"/>
      <c r="OEY1" s="27"/>
      <c r="OEZ1" s="27"/>
      <c r="OFA1" s="27"/>
      <c r="OFB1" s="27"/>
      <c r="OFC1" s="27"/>
      <c r="OFD1" s="27"/>
      <c r="OFE1" s="27"/>
      <c r="OFF1" s="27"/>
      <c r="OFG1" s="27"/>
      <c r="OFH1" s="27"/>
      <c r="OFI1" s="27"/>
      <c r="OFJ1" s="27"/>
      <c r="OFK1" s="27"/>
      <c r="OFL1" s="27"/>
      <c r="OFM1" s="27"/>
      <c r="OFN1" s="27"/>
      <c r="OFO1" s="27"/>
      <c r="OFP1" s="27"/>
      <c r="OFQ1" s="27"/>
      <c r="OFR1" s="27"/>
      <c r="OFS1" s="27"/>
      <c r="OFT1" s="27"/>
      <c r="OFU1" s="27"/>
      <c r="OFV1" s="27"/>
      <c r="OFW1" s="27"/>
      <c r="OFX1" s="27"/>
      <c r="OFY1" s="27"/>
      <c r="OFZ1" s="27"/>
      <c r="OGA1" s="27"/>
      <c r="OGB1" s="27"/>
      <c r="OGC1" s="27"/>
      <c r="OGD1" s="27"/>
      <c r="OGE1" s="27"/>
      <c r="OGF1" s="27"/>
      <c r="OGG1" s="27"/>
      <c r="OGH1" s="27"/>
      <c r="OGI1" s="27"/>
      <c r="OGJ1" s="27"/>
      <c r="OGK1" s="27"/>
      <c r="OGL1" s="27"/>
      <c r="OGM1" s="27"/>
      <c r="OGN1" s="27"/>
      <c r="OGO1" s="27"/>
      <c r="OGP1" s="27"/>
      <c r="OGQ1" s="27"/>
      <c r="OGR1" s="27"/>
      <c r="OGS1" s="27"/>
      <c r="OGT1" s="27"/>
      <c r="OGU1" s="27"/>
      <c r="OGV1" s="27"/>
      <c r="OGW1" s="27"/>
      <c r="OGX1" s="27"/>
      <c r="OGY1" s="27"/>
      <c r="OGZ1" s="27"/>
      <c r="OHA1" s="27"/>
      <c r="OHB1" s="27"/>
      <c r="OHC1" s="27"/>
      <c r="OHD1" s="27"/>
      <c r="OHE1" s="27"/>
      <c r="OHF1" s="27"/>
      <c r="OHG1" s="27"/>
      <c r="OHH1" s="27"/>
      <c r="OHI1" s="27"/>
      <c r="OHJ1" s="27"/>
      <c r="OHK1" s="27"/>
      <c r="OHL1" s="27"/>
      <c r="OHM1" s="27"/>
      <c r="OHN1" s="27"/>
      <c r="OHO1" s="27"/>
      <c r="OHP1" s="27"/>
      <c r="OHQ1" s="27"/>
      <c r="OHR1" s="27"/>
      <c r="OHS1" s="27"/>
      <c r="OHT1" s="27"/>
      <c r="OHU1" s="27"/>
      <c r="OHV1" s="27"/>
      <c r="OHW1" s="27"/>
      <c r="OHX1" s="27"/>
      <c r="OHY1" s="27"/>
      <c r="OHZ1" s="27"/>
      <c r="OIA1" s="27"/>
      <c r="OIB1" s="27"/>
      <c r="OIC1" s="27"/>
      <c r="OID1" s="27"/>
      <c r="OIE1" s="27"/>
      <c r="OIF1" s="27"/>
      <c r="OIG1" s="27"/>
      <c r="OIH1" s="27"/>
      <c r="OII1" s="27"/>
      <c r="OIJ1" s="27"/>
      <c r="OIK1" s="27"/>
      <c r="OIL1" s="27"/>
      <c r="OIM1" s="27"/>
      <c r="OIN1" s="27"/>
      <c r="OIO1" s="27"/>
      <c r="OIP1" s="27"/>
      <c r="OIQ1" s="27"/>
      <c r="OIR1" s="27"/>
      <c r="OIS1" s="27"/>
      <c r="OIT1" s="27"/>
      <c r="OIU1" s="27"/>
      <c r="OIV1" s="27"/>
      <c r="OIW1" s="27"/>
      <c r="OIX1" s="27"/>
      <c r="OIY1" s="27"/>
      <c r="OIZ1" s="27"/>
      <c r="OJA1" s="27"/>
      <c r="OJB1" s="27"/>
      <c r="OJC1" s="27"/>
      <c r="OJD1" s="27"/>
      <c r="OJE1" s="27"/>
      <c r="OJF1" s="27"/>
      <c r="OJG1" s="27"/>
      <c r="OJH1" s="27"/>
      <c r="OJI1" s="27"/>
      <c r="OJJ1" s="27"/>
      <c r="OJK1" s="27"/>
      <c r="OJL1" s="27"/>
      <c r="OJM1" s="27"/>
      <c r="OJN1" s="27"/>
      <c r="OJO1" s="27"/>
      <c r="OJP1" s="27"/>
      <c r="OJQ1" s="27"/>
      <c r="OJR1" s="27"/>
      <c r="OJS1" s="27"/>
      <c r="OJT1" s="27"/>
      <c r="OJU1" s="27"/>
      <c r="OJV1" s="27"/>
      <c r="OJW1" s="27"/>
      <c r="OJX1" s="27"/>
      <c r="OJY1" s="27"/>
      <c r="OJZ1" s="27"/>
      <c r="OKA1" s="27"/>
      <c r="OKB1" s="27"/>
      <c r="OKC1" s="27"/>
      <c r="OKD1" s="27"/>
      <c r="OKE1" s="27"/>
      <c r="OKF1" s="27"/>
      <c r="OKG1" s="27"/>
      <c r="OKH1" s="27"/>
      <c r="OKI1" s="27"/>
      <c r="OKJ1" s="27"/>
      <c r="OKK1" s="27"/>
      <c r="OKL1" s="27"/>
      <c r="OKM1" s="27"/>
      <c r="OKN1" s="27"/>
      <c r="OKO1" s="27"/>
      <c r="OKP1" s="27"/>
      <c r="OKQ1" s="27"/>
      <c r="OKR1" s="27"/>
      <c r="OKS1" s="27"/>
      <c r="OKT1" s="27"/>
      <c r="OKU1" s="27"/>
      <c r="OKV1" s="27"/>
      <c r="OKW1" s="27"/>
      <c r="OKX1" s="27"/>
      <c r="OKY1" s="27"/>
      <c r="OKZ1" s="27"/>
      <c r="OLA1" s="27"/>
      <c r="OLB1" s="27"/>
      <c r="OLC1" s="27"/>
      <c r="OLD1" s="27"/>
      <c r="OLE1" s="27"/>
      <c r="OLF1" s="27"/>
      <c r="OLG1" s="27"/>
      <c r="OLH1" s="27"/>
      <c r="OLI1" s="27"/>
      <c r="OLJ1" s="27"/>
      <c r="OLK1" s="27"/>
      <c r="OLL1" s="27"/>
      <c r="OLM1" s="27"/>
      <c r="OLN1" s="27"/>
      <c r="OLO1" s="27"/>
      <c r="OLP1" s="27"/>
      <c r="OLQ1" s="27"/>
      <c r="OLR1" s="27"/>
      <c r="OLS1" s="27"/>
      <c r="OLT1" s="27"/>
      <c r="OLU1" s="27"/>
      <c r="OLV1" s="27"/>
      <c r="OLW1" s="27"/>
      <c r="OLX1" s="27"/>
      <c r="OLY1" s="27"/>
      <c r="OLZ1" s="27"/>
      <c r="OMA1" s="27"/>
      <c r="OMB1" s="27"/>
      <c r="OMC1" s="27"/>
      <c r="OMD1" s="27"/>
      <c r="OME1" s="27"/>
      <c r="OMF1" s="27"/>
      <c r="OMG1" s="27"/>
      <c r="OMH1" s="27"/>
      <c r="OMI1" s="27"/>
      <c r="OMJ1" s="27"/>
      <c r="OMK1" s="27"/>
      <c r="OML1" s="27"/>
      <c r="OMM1" s="27"/>
      <c r="OMN1" s="27"/>
      <c r="OMO1" s="27"/>
      <c r="OMP1" s="27"/>
      <c r="OMQ1" s="27"/>
      <c r="OMR1" s="27"/>
      <c r="OMS1" s="27"/>
      <c r="OMT1" s="27"/>
      <c r="OMU1" s="27"/>
      <c r="OMV1" s="27"/>
      <c r="OMW1" s="27"/>
      <c r="OMX1" s="27"/>
      <c r="OMY1" s="27"/>
      <c r="OMZ1" s="27"/>
      <c r="ONA1" s="27"/>
      <c r="ONB1" s="27"/>
      <c r="ONC1" s="27"/>
      <c r="OND1" s="27"/>
      <c r="ONE1" s="27"/>
      <c r="ONF1" s="27"/>
      <c r="ONG1" s="27"/>
      <c r="ONH1" s="27"/>
      <c r="ONI1" s="27"/>
      <c r="ONJ1" s="27"/>
      <c r="ONK1" s="27"/>
      <c r="ONL1" s="27"/>
      <c r="ONM1" s="27"/>
      <c r="ONN1" s="27"/>
      <c r="ONO1" s="27"/>
      <c r="ONP1" s="27"/>
      <c r="ONQ1" s="27"/>
      <c r="ONR1" s="27"/>
      <c r="ONS1" s="27"/>
      <c r="ONT1" s="27"/>
      <c r="ONU1" s="27"/>
      <c r="ONV1" s="27"/>
      <c r="ONW1" s="27"/>
      <c r="ONX1" s="27"/>
      <c r="ONY1" s="27"/>
      <c r="ONZ1" s="27"/>
      <c r="OOA1" s="27"/>
      <c r="OOB1" s="27"/>
      <c r="OOC1" s="27"/>
      <c r="OOD1" s="27"/>
      <c r="OOE1" s="27"/>
      <c r="OOF1" s="27"/>
      <c r="OOG1" s="27"/>
      <c r="OOH1" s="27"/>
      <c r="OOI1" s="27"/>
      <c r="OOJ1" s="27"/>
      <c r="OOK1" s="27"/>
      <c r="OOL1" s="27"/>
      <c r="OOM1" s="27"/>
      <c r="OON1" s="27"/>
      <c r="OOO1" s="27"/>
      <c r="OOP1" s="27"/>
      <c r="OOQ1" s="27"/>
      <c r="OOR1" s="27"/>
      <c r="OOS1" s="27"/>
      <c r="OOT1" s="27"/>
      <c r="OOU1" s="27"/>
      <c r="OOV1" s="27"/>
      <c r="OOW1" s="27"/>
      <c r="OOX1" s="27"/>
      <c r="OOY1" s="27"/>
      <c r="OOZ1" s="27"/>
      <c r="OPA1" s="27"/>
      <c r="OPB1" s="27"/>
      <c r="OPC1" s="27"/>
      <c r="OPD1" s="27"/>
      <c r="OPE1" s="27"/>
      <c r="OPF1" s="27"/>
      <c r="OPG1" s="27"/>
      <c r="OPH1" s="27"/>
      <c r="OPI1" s="27"/>
      <c r="OPJ1" s="27"/>
      <c r="OPK1" s="27"/>
      <c r="OPL1" s="27"/>
      <c r="OPM1" s="27"/>
      <c r="OPN1" s="27"/>
      <c r="OPO1" s="27"/>
      <c r="OPP1" s="27"/>
      <c r="OPQ1" s="27"/>
      <c r="OPR1" s="27"/>
      <c r="OPS1" s="27"/>
      <c r="OPT1" s="27"/>
      <c r="OPU1" s="27"/>
      <c r="OPV1" s="27"/>
      <c r="OPW1" s="27"/>
      <c r="OPX1" s="27"/>
      <c r="OPY1" s="27"/>
      <c r="OPZ1" s="27"/>
      <c r="OQA1" s="27"/>
      <c r="OQB1" s="27"/>
      <c r="OQC1" s="27"/>
      <c r="OQD1" s="27"/>
      <c r="OQE1" s="27"/>
      <c r="OQF1" s="27"/>
      <c r="OQG1" s="27"/>
      <c r="OQH1" s="27"/>
      <c r="OQI1" s="27"/>
      <c r="OQJ1" s="27"/>
      <c r="OQK1" s="27"/>
      <c r="OQL1" s="27"/>
      <c r="OQM1" s="27"/>
      <c r="OQN1" s="27"/>
      <c r="OQO1" s="27"/>
      <c r="OQP1" s="27"/>
      <c r="OQQ1" s="27"/>
      <c r="OQR1" s="27"/>
      <c r="OQS1" s="27"/>
      <c r="OQT1" s="27"/>
      <c r="OQU1" s="27"/>
      <c r="OQV1" s="27"/>
      <c r="OQW1" s="27"/>
      <c r="OQX1" s="27"/>
      <c r="OQY1" s="27"/>
      <c r="OQZ1" s="27"/>
      <c r="ORA1" s="27"/>
      <c r="ORB1" s="27"/>
      <c r="ORC1" s="27"/>
      <c r="ORD1" s="27"/>
      <c r="ORE1" s="27"/>
      <c r="ORF1" s="27"/>
      <c r="ORG1" s="27"/>
      <c r="ORH1" s="27"/>
      <c r="ORI1" s="27"/>
      <c r="ORJ1" s="27"/>
      <c r="ORK1" s="27"/>
      <c r="ORL1" s="27"/>
      <c r="ORM1" s="27"/>
      <c r="ORN1" s="27"/>
      <c r="ORO1" s="27"/>
      <c r="ORP1" s="27"/>
      <c r="ORQ1" s="27"/>
      <c r="ORR1" s="27"/>
      <c r="ORS1" s="27"/>
      <c r="ORT1" s="27"/>
      <c r="ORU1" s="27"/>
      <c r="ORV1" s="27"/>
      <c r="ORW1" s="27"/>
      <c r="ORX1" s="27"/>
      <c r="ORY1" s="27"/>
      <c r="ORZ1" s="27"/>
      <c r="OSA1" s="27"/>
      <c r="OSB1" s="27"/>
      <c r="OSC1" s="27"/>
      <c r="OSD1" s="27"/>
      <c r="OSE1" s="27"/>
      <c r="OSF1" s="27"/>
      <c r="OSG1" s="27"/>
      <c r="OSH1" s="27"/>
      <c r="OSI1" s="27"/>
      <c r="OSJ1" s="27"/>
      <c r="OSK1" s="27"/>
      <c r="OSL1" s="27"/>
      <c r="OSM1" s="27"/>
      <c r="OSN1" s="27"/>
      <c r="OSO1" s="27"/>
      <c r="OSP1" s="27"/>
      <c r="OSQ1" s="27"/>
      <c r="OSR1" s="27"/>
      <c r="OSS1" s="27"/>
      <c r="OST1" s="27"/>
      <c r="OSU1" s="27"/>
      <c r="OSV1" s="27"/>
      <c r="OSW1" s="27"/>
      <c r="OSX1" s="27"/>
      <c r="OSY1" s="27"/>
      <c r="OSZ1" s="27"/>
      <c r="OTA1" s="27"/>
      <c r="OTB1" s="27"/>
      <c r="OTC1" s="27"/>
      <c r="OTD1" s="27"/>
      <c r="OTE1" s="27"/>
      <c r="OTF1" s="27"/>
      <c r="OTG1" s="27"/>
      <c r="OTH1" s="27"/>
      <c r="OTI1" s="27"/>
      <c r="OTJ1" s="27"/>
      <c r="OTK1" s="27"/>
      <c r="OTL1" s="27"/>
      <c r="OTM1" s="27"/>
      <c r="OTN1" s="27"/>
      <c r="OTO1" s="27"/>
      <c r="OTP1" s="27"/>
      <c r="OTQ1" s="27"/>
      <c r="OTR1" s="27"/>
      <c r="OTS1" s="27"/>
      <c r="OTT1" s="27"/>
      <c r="OTU1" s="27"/>
      <c r="OTV1" s="27"/>
      <c r="OTW1" s="27"/>
      <c r="OTX1" s="27"/>
      <c r="OTY1" s="27"/>
      <c r="OTZ1" s="27"/>
      <c r="OUA1" s="27"/>
      <c r="OUB1" s="27"/>
      <c r="OUC1" s="27"/>
      <c r="OUD1" s="27"/>
      <c r="OUE1" s="27"/>
      <c r="OUF1" s="27"/>
      <c r="OUG1" s="27"/>
      <c r="OUH1" s="27"/>
      <c r="OUI1" s="27"/>
      <c r="OUJ1" s="27"/>
      <c r="OUK1" s="27"/>
      <c r="OUL1" s="27"/>
      <c r="OUM1" s="27"/>
      <c r="OUN1" s="27"/>
      <c r="OUO1" s="27"/>
      <c r="OUP1" s="27"/>
      <c r="OUQ1" s="27"/>
      <c r="OUR1" s="27"/>
      <c r="OUS1" s="27"/>
      <c r="OUT1" s="27"/>
      <c r="OUU1" s="27"/>
      <c r="OUV1" s="27"/>
      <c r="OUW1" s="27"/>
      <c r="OUX1" s="27"/>
      <c r="OUY1" s="27"/>
      <c r="OUZ1" s="27"/>
      <c r="OVA1" s="27"/>
      <c r="OVB1" s="27"/>
      <c r="OVC1" s="27"/>
      <c r="OVD1" s="27"/>
      <c r="OVE1" s="27"/>
      <c r="OVF1" s="27"/>
      <c r="OVG1" s="27"/>
      <c r="OVH1" s="27"/>
      <c r="OVI1" s="27"/>
      <c r="OVJ1" s="27"/>
      <c r="OVK1" s="27"/>
      <c r="OVL1" s="27"/>
      <c r="OVM1" s="27"/>
      <c r="OVN1" s="27"/>
      <c r="OVO1" s="27"/>
      <c r="OVP1" s="27"/>
      <c r="OVQ1" s="27"/>
      <c r="OVR1" s="27"/>
      <c r="OVS1" s="27"/>
      <c r="OVT1" s="27"/>
      <c r="OVU1" s="27"/>
      <c r="OVV1" s="27"/>
      <c r="OVW1" s="27"/>
      <c r="OVX1" s="27"/>
      <c r="OVY1" s="27"/>
      <c r="OVZ1" s="27"/>
      <c r="OWA1" s="27"/>
      <c r="OWB1" s="27"/>
      <c r="OWC1" s="27"/>
      <c r="OWD1" s="27"/>
      <c r="OWE1" s="27"/>
      <c r="OWF1" s="27"/>
      <c r="OWG1" s="27"/>
      <c r="OWH1" s="27"/>
      <c r="OWI1" s="27"/>
      <c r="OWJ1" s="27"/>
      <c r="OWK1" s="27"/>
      <c r="OWL1" s="27"/>
      <c r="OWM1" s="27"/>
      <c r="OWN1" s="27"/>
      <c r="OWO1" s="27"/>
      <c r="OWP1" s="27"/>
      <c r="OWQ1" s="27"/>
      <c r="OWR1" s="27"/>
      <c r="OWS1" s="27"/>
      <c r="OWT1" s="27"/>
      <c r="OWU1" s="27"/>
      <c r="OWV1" s="27"/>
      <c r="OWW1" s="27"/>
      <c r="OWX1" s="27"/>
      <c r="OWY1" s="27"/>
      <c r="OWZ1" s="27"/>
      <c r="OXA1" s="27"/>
      <c r="OXB1" s="27"/>
      <c r="OXC1" s="27"/>
      <c r="OXD1" s="27"/>
      <c r="OXE1" s="27"/>
      <c r="OXF1" s="27"/>
      <c r="OXG1" s="27"/>
      <c r="OXH1" s="27"/>
      <c r="OXI1" s="27"/>
      <c r="OXJ1" s="27"/>
      <c r="OXK1" s="27"/>
      <c r="OXL1" s="27"/>
      <c r="OXM1" s="27"/>
      <c r="OXN1" s="27"/>
      <c r="OXO1" s="27"/>
      <c r="OXP1" s="27"/>
      <c r="OXQ1" s="27"/>
      <c r="OXR1" s="27"/>
      <c r="OXS1" s="27"/>
      <c r="OXT1" s="27"/>
      <c r="OXU1" s="27"/>
      <c r="OXV1" s="27"/>
      <c r="OXW1" s="27"/>
      <c r="OXX1" s="27"/>
      <c r="OXY1" s="27"/>
      <c r="OXZ1" s="27"/>
      <c r="OYA1" s="27"/>
      <c r="OYB1" s="27"/>
      <c r="OYC1" s="27"/>
      <c r="OYD1" s="27"/>
      <c r="OYE1" s="27"/>
      <c r="OYF1" s="27"/>
      <c r="OYG1" s="27"/>
      <c r="OYH1" s="27"/>
      <c r="OYI1" s="27"/>
      <c r="OYJ1" s="27"/>
      <c r="OYK1" s="27"/>
      <c r="OYL1" s="27"/>
      <c r="OYM1" s="27"/>
      <c r="OYN1" s="27"/>
      <c r="OYO1" s="27"/>
      <c r="OYP1" s="27"/>
      <c r="OYQ1" s="27"/>
      <c r="OYR1" s="27"/>
      <c r="OYS1" s="27"/>
      <c r="OYT1" s="27"/>
      <c r="OYU1" s="27"/>
      <c r="OYV1" s="27"/>
      <c r="OYW1" s="27"/>
      <c r="OYX1" s="27"/>
      <c r="OYY1" s="27"/>
      <c r="OYZ1" s="27"/>
      <c r="OZA1" s="27"/>
      <c r="OZB1" s="27"/>
      <c r="OZC1" s="27"/>
      <c r="OZD1" s="27"/>
      <c r="OZE1" s="27"/>
      <c r="OZF1" s="27"/>
      <c r="OZG1" s="27"/>
      <c r="OZH1" s="27"/>
      <c r="OZI1" s="27"/>
      <c r="OZJ1" s="27"/>
      <c r="OZK1" s="27"/>
      <c r="OZL1" s="27"/>
      <c r="OZM1" s="27"/>
      <c r="OZN1" s="27"/>
      <c r="OZO1" s="27"/>
      <c r="OZP1" s="27"/>
      <c r="OZQ1" s="27"/>
      <c r="OZR1" s="27"/>
      <c r="OZS1" s="27"/>
      <c r="OZT1" s="27"/>
      <c r="OZU1" s="27"/>
      <c r="OZV1" s="27"/>
      <c r="OZW1" s="27"/>
      <c r="OZX1" s="27"/>
      <c r="OZY1" s="27"/>
      <c r="OZZ1" s="27"/>
      <c r="PAA1" s="27"/>
      <c r="PAB1" s="27"/>
      <c r="PAC1" s="27"/>
      <c r="PAD1" s="27"/>
      <c r="PAE1" s="27"/>
      <c r="PAF1" s="27"/>
      <c r="PAG1" s="27"/>
      <c r="PAH1" s="27"/>
      <c r="PAI1" s="27"/>
      <c r="PAJ1" s="27"/>
      <c r="PAK1" s="27"/>
      <c r="PAL1" s="27"/>
      <c r="PAM1" s="27"/>
      <c r="PAN1" s="27"/>
      <c r="PAO1" s="27"/>
      <c r="PAP1" s="27"/>
      <c r="PAQ1" s="27"/>
      <c r="PAR1" s="27"/>
      <c r="PAS1" s="27"/>
      <c r="PAT1" s="27"/>
      <c r="PAU1" s="27"/>
      <c r="PAV1" s="27"/>
      <c r="PAW1" s="27"/>
      <c r="PAX1" s="27"/>
      <c r="PAY1" s="27"/>
      <c r="PAZ1" s="27"/>
      <c r="PBA1" s="27"/>
      <c r="PBB1" s="27"/>
      <c r="PBC1" s="27"/>
      <c r="PBD1" s="27"/>
      <c r="PBE1" s="27"/>
      <c r="PBF1" s="27"/>
      <c r="PBG1" s="27"/>
      <c r="PBH1" s="27"/>
      <c r="PBI1" s="27"/>
      <c r="PBJ1" s="27"/>
      <c r="PBK1" s="27"/>
      <c r="PBL1" s="27"/>
      <c r="PBM1" s="27"/>
      <c r="PBN1" s="27"/>
      <c r="PBO1" s="27"/>
      <c r="PBP1" s="27"/>
      <c r="PBQ1" s="27"/>
      <c r="PBR1" s="27"/>
      <c r="PBS1" s="27"/>
      <c r="PBT1" s="27"/>
      <c r="PBU1" s="27"/>
      <c r="PBV1" s="27"/>
      <c r="PBW1" s="27"/>
      <c r="PBX1" s="27"/>
      <c r="PBY1" s="27"/>
      <c r="PBZ1" s="27"/>
      <c r="PCA1" s="27"/>
      <c r="PCB1" s="27"/>
      <c r="PCC1" s="27"/>
      <c r="PCD1" s="27"/>
      <c r="PCE1" s="27"/>
      <c r="PCF1" s="27"/>
      <c r="PCG1" s="27"/>
      <c r="PCH1" s="27"/>
      <c r="PCI1" s="27"/>
      <c r="PCJ1" s="27"/>
      <c r="PCK1" s="27"/>
      <c r="PCL1" s="27"/>
      <c r="PCM1" s="27"/>
      <c r="PCN1" s="27"/>
      <c r="PCO1" s="27"/>
      <c r="PCP1" s="27"/>
      <c r="PCQ1" s="27"/>
      <c r="PCR1" s="27"/>
      <c r="PCS1" s="27"/>
      <c r="PCT1" s="27"/>
      <c r="PCU1" s="27"/>
      <c r="PCV1" s="27"/>
      <c r="PCW1" s="27"/>
      <c r="PCX1" s="27"/>
      <c r="PCY1" s="27"/>
      <c r="PCZ1" s="27"/>
      <c r="PDA1" s="27"/>
      <c r="PDB1" s="27"/>
      <c r="PDC1" s="27"/>
      <c r="PDD1" s="27"/>
      <c r="PDE1" s="27"/>
      <c r="PDF1" s="27"/>
      <c r="PDG1" s="27"/>
      <c r="PDH1" s="27"/>
      <c r="PDI1" s="27"/>
      <c r="PDJ1" s="27"/>
      <c r="PDK1" s="27"/>
      <c r="PDL1" s="27"/>
      <c r="PDM1" s="27"/>
      <c r="PDN1" s="27"/>
      <c r="PDO1" s="27"/>
      <c r="PDP1" s="27"/>
      <c r="PDQ1" s="27"/>
      <c r="PDR1" s="27"/>
      <c r="PDS1" s="27"/>
      <c r="PDT1" s="27"/>
      <c r="PDU1" s="27"/>
      <c r="PDV1" s="27"/>
      <c r="PDW1" s="27"/>
      <c r="PDX1" s="27"/>
      <c r="PDY1" s="27"/>
      <c r="PDZ1" s="27"/>
      <c r="PEA1" s="27"/>
      <c r="PEB1" s="27"/>
      <c r="PEC1" s="27"/>
      <c r="PED1" s="27"/>
      <c r="PEE1" s="27"/>
      <c r="PEF1" s="27"/>
      <c r="PEG1" s="27"/>
      <c r="PEH1" s="27"/>
      <c r="PEI1" s="27"/>
      <c r="PEJ1" s="27"/>
      <c r="PEK1" s="27"/>
      <c r="PEL1" s="27"/>
      <c r="PEM1" s="27"/>
      <c r="PEN1" s="27"/>
      <c r="PEO1" s="27"/>
      <c r="PEP1" s="27"/>
      <c r="PEQ1" s="27"/>
      <c r="PER1" s="27"/>
      <c r="PES1" s="27"/>
      <c r="PET1" s="27"/>
      <c r="PEU1" s="27"/>
      <c r="PEV1" s="27"/>
      <c r="PEW1" s="27"/>
      <c r="PEX1" s="27"/>
      <c r="PEY1" s="27"/>
      <c r="PEZ1" s="27"/>
      <c r="PFA1" s="27"/>
      <c r="PFB1" s="27"/>
      <c r="PFC1" s="27"/>
      <c r="PFD1" s="27"/>
      <c r="PFE1" s="27"/>
      <c r="PFF1" s="27"/>
      <c r="PFG1" s="27"/>
      <c r="PFH1" s="27"/>
      <c r="PFI1" s="27"/>
      <c r="PFJ1" s="27"/>
      <c r="PFK1" s="27"/>
      <c r="PFL1" s="27"/>
      <c r="PFM1" s="27"/>
      <c r="PFN1" s="27"/>
      <c r="PFO1" s="27"/>
      <c r="PFP1" s="27"/>
      <c r="PFQ1" s="27"/>
      <c r="PFR1" s="27"/>
      <c r="PFS1" s="27"/>
      <c r="PFT1" s="27"/>
      <c r="PFU1" s="27"/>
      <c r="PFV1" s="27"/>
      <c r="PFW1" s="27"/>
      <c r="PFX1" s="27"/>
      <c r="PFY1" s="27"/>
      <c r="PFZ1" s="27"/>
      <c r="PGA1" s="27"/>
      <c r="PGB1" s="27"/>
      <c r="PGC1" s="27"/>
      <c r="PGD1" s="27"/>
      <c r="PGE1" s="27"/>
      <c r="PGF1" s="27"/>
      <c r="PGG1" s="27"/>
      <c r="PGH1" s="27"/>
      <c r="PGI1" s="27"/>
      <c r="PGJ1" s="27"/>
      <c r="PGK1" s="27"/>
      <c r="PGL1" s="27"/>
      <c r="PGM1" s="27"/>
      <c r="PGN1" s="27"/>
      <c r="PGO1" s="27"/>
      <c r="PGP1" s="27"/>
      <c r="PGQ1" s="27"/>
      <c r="PGR1" s="27"/>
      <c r="PGS1" s="27"/>
      <c r="PGT1" s="27"/>
      <c r="PGU1" s="27"/>
      <c r="PGV1" s="27"/>
      <c r="PGW1" s="27"/>
      <c r="PGX1" s="27"/>
      <c r="PGY1" s="27"/>
      <c r="PGZ1" s="27"/>
      <c r="PHA1" s="27"/>
      <c r="PHB1" s="27"/>
      <c r="PHC1" s="27"/>
      <c r="PHD1" s="27"/>
      <c r="PHE1" s="27"/>
      <c r="PHF1" s="27"/>
      <c r="PHG1" s="27"/>
      <c r="PHH1" s="27"/>
      <c r="PHI1" s="27"/>
      <c r="PHJ1" s="27"/>
      <c r="PHK1" s="27"/>
      <c r="PHL1" s="27"/>
      <c r="PHM1" s="27"/>
      <c r="PHN1" s="27"/>
      <c r="PHO1" s="27"/>
      <c r="PHP1" s="27"/>
      <c r="PHQ1" s="27"/>
      <c r="PHR1" s="27"/>
      <c r="PHS1" s="27"/>
      <c r="PHT1" s="27"/>
      <c r="PHU1" s="27"/>
      <c r="PHV1" s="27"/>
      <c r="PHW1" s="27"/>
      <c r="PHX1" s="27"/>
      <c r="PHY1" s="27"/>
      <c r="PHZ1" s="27"/>
      <c r="PIA1" s="27"/>
      <c r="PIB1" s="27"/>
      <c r="PIC1" s="27"/>
      <c r="PID1" s="27"/>
      <c r="PIE1" s="27"/>
      <c r="PIF1" s="27"/>
      <c r="PIG1" s="27"/>
      <c r="PIH1" s="27"/>
      <c r="PII1" s="27"/>
      <c r="PIJ1" s="27"/>
      <c r="PIK1" s="27"/>
      <c r="PIL1" s="27"/>
      <c r="PIM1" s="27"/>
      <c r="PIN1" s="27"/>
      <c r="PIO1" s="27"/>
      <c r="PIP1" s="27"/>
      <c r="PIQ1" s="27"/>
      <c r="PIR1" s="27"/>
      <c r="PIS1" s="27"/>
      <c r="PIT1" s="27"/>
      <c r="PIU1" s="27"/>
      <c r="PIV1" s="27"/>
      <c r="PIW1" s="27"/>
      <c r="PIX1" s="27"/>
      <c r="PIY1" s="27"/>
      <c r="PIZ1" s="27"/>
      <c r="PJA1" s="27"/>
      <c r="PJB1" s="27"/>
      <c r="PJC1" s="27"/>
      <c r="PJD1" s="27"/>
      <c r="PJE1" s="27"/>
      <c r="PJF1" s="27"/>
      <c r="PJG1" s="27"/>
      <c r="PJH1" s="27"/>
      <c r="PJI1" s="27"/>
      <c r="PJJ1" s="27"/>
      <c r="PJK1" s="27"/>
      <c r="PJL1" s="27"/>
      <c r="PJM1" s="27"/>
      <c r="PJN1" s="27"/>
      <c r="PJO1" s="27"/>
      <c r="PJP1" s="27"/>
      <c r="PJQ1" s="27"/>
      <c r="PJR1" s="27"/>
      <c r="PJS1" s="27"/>
      <c r="PJT1" s="27"/>
      <c r="PJU1" s="27"/>
      <c r="PJV1" s="27"/>
      <c r="PJW1" s="27"/>
      <c r="PJX1" s="27"/>
      <c r="PJY1" s="27"/>
      <c r="PJZ1" s="27"/>
      <c r="PKA1" s="27"/>
      <c r="PKB1" s="27"/>
      <c r="PKC1" s="27"/>
      <c r="PKD1" s="27"/>
      <c r="PKE1" s="27"/>
      <c r="PKF1" s="27"/>
      <c r="PKG1" s="27"/>
      <c r="PKH1" s="27"/>
      <c r="PKI1" s="27"/>
      <c r="PKJ1" s="27"/>
      <c r="PKK1" s="27"/>
      <c r="PKL1" s="27"/>
      <c r="PKM1" s="27"/>
      <c r="PKN1" s="27"/>
      <c r="PKO1" s="27"/>
      <c r="PKP1" s="27"/>
      <c r="PKQ1" s="27"/>
      <c r="PKR1" s="27"/>
      <c r="PKS1" s="27"/>
      <c r="PKT1" s="27"/>
      <c r="PKU1" s="27"/>
      <c r="PKV1" s="27"/>
      <c r="PKW1" s="27"/>
      <c r="PKX1" s="27"/>
      <c r="PKY1" s="27"/>
      <c r="PKZ1" s="27"/>
      <c r="PLA1" s="27"/>
      <c r="PLB1" s="27"/>
      <c r="PLC1" s="27"/>
      <c r="PLD1" s="27"/>
      <c r="PLE1" s="27"/>
      <c r="PLF1" s="27"/>
      <c r="PLG1" s="27"/>
      <c r="PLH1" s="27"/>
      <c r="PLI1" s="27"/>
      <c r="PLJ1" s="27"/>
      <c r="PLK1" s="27"/>
      <c r="PLL1" s="27"/>
      <c r="PLM1" s="27"/>
      <c r="PLN1" s="27"/>
      <c r="PLO1" s="27"/>
      <c r="PLP1" s="27"/>
      <c r="PLQ1" s="27"/>
      <c r="PLR1" s="27"/>
      <c r="PLS1" s="27"/>
      <c r="PLT1" s="27"/>
      <c r="PLU1" s="27"/>
      <c r="PLV1" s="27"/>
      <c r="PLW1" s="27"/>
      <c r="PLX1" s="27"/>
      <c r="PLY1" s="27"/>
      <c r="PLZ1" s="27"/>
      <c r="PMA1" s="27"/>
      <c r="PMB1" s="27"/>
      <c r="PMC1" s="27"/>
      <c r="PMD1" s="27"/>
      <c r="PME1" s="27"/>
      <c r="PMF1" s="27"/>
      <c r="PMG1" s="27"/>
      <c r="PMH1" s="27"/>
      <c r="PMI1" s="27"/>
      <c r="PMJ1" s="27"/>
      <c r="PMK1" s="27"/>
      <c r="PML1" s="27"/>
      <c r="PMM1" s="27"/>
      <c r="PMN1" s="27"/>
      <c r="PMO1" s="27"/>
      <c r="PMP1" s="27"/>
      <c r="PMQ1" s="27"/>
      <c r="PMR1" s="27"/>
      <c r="PMS1" s="27"/>
      <c r="PMT1" s="27"/>
      <c r="PMU1" s="27"/>
      <c r="PMV1" s="27"/>
      <c r="PMW1" s="27"/>
      <c r="PMX1" s="27"/>
      <c r="PMY1" s="27"/>
      <c r="PMZ1" s="27"/>
      <c r="PNA1" s="27"/>
      <c r="PNB1" s="27"/>
      <c r="PNC1" s="27"/>
      <c r="PND1" s="27"/>
      <c r="PNE1" s="27"/>
      <c r="PNF1" s="27"/>
      <c r="PNG1" s="27"/>
      <c r="PNH1" s="27"/>
      <c r="PNI1" s="27"/>
      <c r="PNJ1" s="27"/>
      <c r="PNK1" s="27"/>
      <c r="PNL1" s="27"/>
      <c r="PNM1" s="27"/>
      <c r="PNN1" s="27"/>
      <c r="PNO1" s="27"/>
      <c r="PNP1" s="27"/>
      <c r="PNQ1" s="27"/>
      <c r="PNR1" s="27"/>
      <c r="PNS1" s="27"/>
      <c r="PNT1" s="27"/>
      <c r="PNU1" s="27"/>
      <c r="PNV1" s="27"/>
      <c r="PNW1" s="27"/>
      <c r="PNX1" s="27"/>
      <c r="PNY1" s="27"/>
      <c r="PNZ1" s="27"/>
      <c r="POA1" s="27"/>
      <c r="POB1" s="27"/>
      <c r="POC1" s="27"/>
      <c r="POD1" s="27"/>
      <c r="POE1" s="27"/>
      <c r="POF1" s="27"/>
      <c r="POG1" s="27"/>
      <c r="POH1" s="27"/>
      <c r="POI1" s="27"/>
      <c r="POJ1" s="27"/>
      <c r="POK1" s="27"/>
      <c r="POL1" s="27"/>
      <c r="POM1" s="27"/>
      <c r="PON1" s="27"/>
      <c r="POO1" s="27"/>
      <c r="POP1" s="27"/>
      <c r="POQ1" s="27"/>
      <c r="POR1" s="27"/>
      <c r="POS1" s="27"/>
      <c r="POT1" s="27"/>
      <c r="POU1" s="27"/>
      <c r="POV1" s="27"/>
      <c r="POW1" s="27"/>
      <c r="POX1" s="27"/>
      <c r="POY1" s="27"/>
      <c r="POZ1" s="27"/>
      <c r="PPA1" s="27"/>
      <c r="PPB1" s="27"/>
      <c r="PPC1" s="27"/>
      <c r="PPD1" s="27"/>
      <c r="PPE1" s="27"/>
      <c r="PPF1" s="27"/>
      <c r="PPG1" s="27"/>
      <c r="PPH1" s="27"/>
      <c r="PPI1" s="27"/>
      <c r="PPJ1" s="27"/>
      <c r="PPK1" s="27"/>
      <c r="PPL1" s="27"/>
      <c r="PPM1" s="27"/>
      <c r="PPN1" s="27"/>
      <c r="PPO1" s="27"/>
      <c r="PPP1" s="27"/>
      <c r="PPQ1" s="27"/>
      <c r="PPR1" s="27"/>
      <c r="PPS1" s="27"/>
      <c r="PPT1" s="27"/>
      <c r="PPU1" s="27"/>
      <c r="PPV1" s="27"/>
      <c r="PPW1" s="27"/>
      <c r="PPX1" s="27"/>
      <c r="PPY1" s="27"/>
      <c r="PPZ1" s="27"/>
      <c r="PQA1" s="27"/>
      <c r="PQB1" s="27"/>
      <c r="PQC1" s="27"/>
      <c r="PQD1" s="27"/>
      <c r="PQE1" s="27"/>
      <c r="PQF1" s="27"/>
      <c r="PQG1" s="27"/>
      <c r="PQH1" s="27"/>
      <c r="PQI1" s="27"/>
      <c r="PQJ1" s="27"/>
      <c r="PQK1" s="27"/>
      <c r="PQL1" s="27"/>
      <c r="PQM1" s="27"/>
      <c r="PQN1" s="27"/>
      <c r="PQO1" s="27"/>
      <c r="PQP1" s="27"/>
      <c r="PQQ1" s="27"/>
      <c r="PQR1" s="27"/>
      <c r="PQS1" s="27"/>
      <c r="PQT1" s="27"/>
      <c r="PQU1" s="27"/>
      <c r="PQV1" s="27"/>
      <c r="PQW1" s="27"/>
      <c r="PQX1" s="27"/>
      <c r="PQY1" s="27"/>
      <c r="PQZ1" s="27"/>
      <c r="PRA1" s="27"/>
      <c r="PRB1" s="27"/>
      <c r="PRC1" s="27"/>
      <c r="PRD1" s="27"/>
      <c r="PRE1" s="27"/>
      <c r="PRF1" s="27"/>
      <c r="PRG1" s="27"/>
      <c r="PRH1" s="27"/>
      <c r="PRI1" s="27"/>
      <c r="PRJ1" s="27"/>
      <c r="PRK1" s="27"/>
      <c r="PRL1" s="27"/>
      <c r="PRM1" s="27"/>
      <c r="PRN1" s="27"/>
      <c r="PRO1" s="27"/>
      <c r="PRP1" s="27"/>
      <c r="PRQ1" s="27"/>
      <c r="PRR1" s="27"/>
      <c r="PRS1" s="27"/>
      <c r="PRT1" s="27"/>
      <c r="PRU1" s="27"/>
      <c r="PRV1" s="27"/>
      <c r="PRW1" s="27"/>
      <c r="PRX1" s="27"/>
      <c r="PRY1" s="27"/>
      <c r="PRZ1" s="27"/>
      <c r="PSA1" s="27"/>
      <c r="PSB1" s="27"/>
      <c r="PSC1" s="27"/>
      <c r="PSD1" s="27"/>
      <c r="PSE1" s="27"/>
      <c r="PSF1" s="27"/>
      <c r="PSG1" s="27"/>
      <c r="PSH1" s="27"/>
      <c r="PSI1" s="27"/>
      <c r="PSJ1" s="27"/>
      <c r="PSK1" s="27"/>
      <c r="PSL1" s="27"/>
      <c r="PSM1" s="27"/>
      <c r="PSN1" s="27"/>
      <c r="PSO1" s="27"/>
      <c r="PSP1" s="27"/>
      <c r="PSQ1" s="27"/>
      <c r="PSR1" s="27"/>
      <c r="PSS1" s="27"/>
      <c r="PST1" s="27"/>
      <c r="PSU1" s="27"/>
      <c r="PSV1" s="27"/>
      <c r="PSW1" s="27"/>
      <c r="PSX1" s="27"/>
      <c r="PSY1" s="27"/>
      <c r="PSZ1" s="27"/>
      <c r="PTA1" s="27"/>
      <c r="PTB1" s="27"/>
      <c r="PTC1" s="27"/>
      <c r="PTD1" s="27"/>
      <c r="PTE1" s="27"/>
      <c r="PTF1" s="27"/>
      <c r="PTG1" s="27"/>
      <c r="PTH1" s="27"/>
      <c r="PTI1" s="27"/>
      <c r="PTJ1" s="27"/>
      <c r="PTK1" s="27"/>
      <c r="PTL1" s="27"/>
      <c r="PTM1" s="27"/>
      <c r="PTN1" s="27"/>
      <c r="PTO1" s="27"/>
      <c r="PTP1" s="27"/>
      <c r="PTQ1" s="27"/>
      <c r="PTR1" s="27"/>
      <c r="PTS1" s="27"/>
      <c r="PTT1" s="27"/>
      <c r="PTU1" s="27"/>
      <c r="PTV1" s="27"/>
      <c r="PTW1" s="27"/>
      <c r="PTX1" s="27"/>
      <c r="PTY1" s="27"/>
      <c r="PTZ1" s="27"/>
      <c r="PUA1" s="27"/>
      <c r="PUB1" s="27"/>
      <c r="PUC1" s="27"/>
      <c r="PUD1" s="27"/>
      <c r="PUE1" s="27"/>
      <c r="PUF1" s="27"/>
      <c r="PUG1" s="27"/>
      <c r="PUH1" s="27"/>
      <c r="PUI1" s="27"/>
      <c r="PUJ1" s="27"/>
      <c r="PUK1" s="27"/>
      <c r="PUL1" s="27"/>
      <c r="PUM1" s="27"/>
      <c r="PUN1" s="27"/>
      <c r="PUO1" s="27"/>
      <c r="PUP1" s="27"/>
      <c r="PUQ1" s="27"/>
      <c r="PUR1" s="27"/>
      <c r="PUS1" s="27"/>
      <c r="PUT1" s="27"/>
      <c r="PUU1" s="27"/>
      <c r="PUV1" s="27"/>
      <c r="PUW1" s="27"/>
      <c r="PUX1" s="27"/>
      <c r="PUY1" s="27"/>
      <c r="PUZ1" s="27"/>
      <c r="PVA1" s="27"/>
      <c r="PVB1" s="27"/>
      <c r="PVC1" s="27"/>
      <c r="PVD1" s="27"/>
      <c r="PVE1" s="27"/>
      <c r="PVF1" s="27"/>
      <c r="PVG1" s="27"/>
      <c r="PVH1" s="27"/>
      <c r="PVI1" s="27"/>
      <c r="PVJ1" s="27"/>
      <c r="PVK1" s="27"/>
      <c r="PVL1" s="27"/>
      <c r="PVM1" s="27"/>
      <c r="PVN1" s="27"/>
      <c r="PVO1" s="27"/>
      <c r="PVP1" s="27"/>
      <c r="PVQ1" s="27"/>
      <c r="PVR1" s="27"/>
      <c r="PVS1" s="27"/>
      <c r="PVT1" s="27"/>
      <c r="PVU1" s="27"/>
      <c r="PVV1" s="27"/>
      <c r="PVW1" s="27"/>
      <c r="PVX1" s="27"/>
      <c r="PVY1" s="27"/>
      <c r="PVZ1" s="27"/>
      <c r="PWA1" s="27"/>
      <c r="PWB1" s="27"/>
      <c r="PWC1" s="27"/>
      <c r="PWD1" s="27"/>
      <c r="PWE1" s="27"/>
      <c r="PWF1" s="27"/>
      <c r="PWG1" s="27"/>
      <c r="PWH1" s="27"/>
      <c r="PWI1" s="27"/>
      <c r="PWJ1" s="27"/>
      <c r="PWK1" s="27"/>
      <c r="PWL1" s="27"/>
      <c r="PWM1" s="27"/>
      <c r="PWN1" s="27"/>
      <c r="PWO1" s="27"/>
      <c r="PWP1" s="27"/>
      <c r="PWQ1" s="27"/>
      <c r="PWR1" s="27"/>
      <c r="PWS1" s="27"/>
      <c r="PWT1" s="27"/>
      <c r="PWU1" s="27"/>
      <c r="PWV1" s="27"/>
      <c r="PWW1" s="27"/>
      <c r="PWX1" s="27"/>
      <c r="PWY1" s="27"/>
      <c r="PWZ1" s="27"/>
      <c r="PXA1" s="27"/>
      <c r="PXB1" s="27"/>
      <c r="PXC1" s="27"/>
      <c r="PXD1" s="27"/>
      <c r="PXE1" s="27"/>
      <c r="PXF1" s="27"/>
      <c r="PXG1" s="27"/>
      <c r="PXH1" s="27"/>
      <c r="PXI1" s="27"/>
      <c r="PXJ1" s="27"/>
      <c r="PXK1" s="27"/>
      <c r="PXL1" s="27"/>
      <c r="PXM1" s="27"/>
      <c r="PXN1" s="27"/>
      <c r="PXO1" s="27"/>
      <c r="PXP1" s="27"/>
      <c r="PXQ1" s="27"/>
      <c r="PXR1" s="27"/>
      <c r="PXS1" s="27"/>
      <c r="PXT1" s="27"/>
      <c r="PXU1" s="27"/>
      <c r="PXV1" s="27"/>
      <c r="PXW1" s="27"/>
      <c r="PXX1" s="27"/>
      <c r="PXY1" s="27"/>
      <c r="PXZ1" s="27"/>
      <c r="PYA1" s="27"/>
      <c r="PYB1" s="27"/>
      <c r="PYC1" s="27"/>
      <c r="PYD1" s="27"/>
      <c r="PYE1" s="27"/>
      <c r="PYF1" s="27"/>
      <c r="PYG1" s="27"/>
      <c r="PYH1" s="27"/>
      <c r="PYI1" s="27"/>
      <c r="PYJ1" s="27"/>
      <c r="PYK1" s="27"/>
      <c r="PYL1" s="27"/>
      <c r="PYM1" s="27"/>
      <c r="PYN1" s="27"/>
      <c r="PYO1" s="27"/>
      <c r="PYP1" s="27"/>
      <c r="PYQ1" s="27"/>
      <c r="PYR1" s="27"/>
      <c r="PYS1" s="27"/>
      <c r="PYT1" s="27"/>
      <c r="PYU1" s="27"/>
      <c r="PYV1" s="27"/>
      <c r="PYW1" s="27"/>
      <c r="PYX1" s="27"/>
      <c r="PYY1" s="27"/>
      <c r="PYZ1" s="27"/>
      <c r="PZA1" s="27"/>
      <c r="PZB1" s="27"/>
      <c r="PZC1" s="27"/>
      <c r="PZD1" s="27"/>
      <c r="PZE1" s="27"/>
      <c r="PZF1" s="27"/>
      <c r="PZG1" s="27"/>
      <c r="PZH1" s="27"/>
      <c r="PZI1" s="27"/>
      <c r="PZJ1" s="27"/>
      <c r="PZK1" s="27"/>
      <c r="PZL1" s="27"/>
      <c r="PZM1" s="27"/>
      <c r="PZN1" s="27"/>
      <c r="PZO1" s="27"/>
      <c r="PZP1" s="27"/>
      <c r="PZQ1" s="27"/>
      <c r="PZR1" s="27"/>
      <c r="PZS1" s="27"/>
      <c r="PZT1" s="27"/>
      <c r="PZU1" s="27"/>
      <c r="PZV1" s="27"/>
      <c r="PZW1" s="27"/>
      <c r="PZX1" s="27"/>
      <c r="PZY1" s="27"/>
      <c r="PZZ1" s="27"/>
      <c r="QAA1" s="27"/>
      <c r="QAB1" s="27"/>
      <c r="QAC1" s="27"/>
      <c r="QAD1" s="27"/>
      <c r="QAE1" s="27"/>
      <c r="QAF1" s="27"/>
      <c r="QAG1" s="27"/>
      <c r="QAH1" s="27"/>
      <c r="QAI1" s="27"/>
      <c r="QAJ1" s="27"/>
      <c r="QAK1" s="27"/>
      <c r="QAL1" s="27"/>
      <c r="QAM1" s="27"/>
      <c r="QAN1" s="27"/>
      <c r="QAO1" s="27"/>
      <c r="QAP1" s="27"/>
      <c r="QAQ1" s="27"/>
      <c r="QAR1" s="27"/>
      <c r="QAS1" s="27"/>
      <c r="QAT1" s="27"/>
      <c r="QAU1" s="27"/>
      <c r="QAV1" s="27"/>
      <c r="QAW1" s="27"/>
      <c r="QAX1" s="27"/>
      <c r="QAY1" s="27"/>
      <c r="QAZ1" s="27"/>
      <c r="QBA1" s="27"/>
      <c r="QBB1" s="27"/>
      <c r="QBC1" s="27"/>
      <c r="QBD1" s="27"/>
      <c r="QBE1" s="27"/>
      <c r="QBF1" s="27"/>
      <c r="QBG1" s="27"/>
      <c r="QBH1" s="27"/>
      <c r="QBI1" s="27"/>
      <c r="QBJ1" s="27"/>
      <c r="QBK1" s="27"/>
      <c r="QBL1" s="27"/>
      <c r="QBM1" s="27"/>
      <c r="QBN1" s="27"/>
      <c r="QBO1" s="27"/>
      <c r="QBP1" s="27"/>
      <c r="QBQ1" s="27"/>
      <c r="QBR1" s="27"/>
      <c r="QBS1" s="27"/>
      <c r="QBT1" s="27"/>
      <c r="QBU1" s="27"/>
      <c r="QBV1" s="27"/>
      <c r="QBW1" s="27"/>
      <c r="QBX1" s="27"/>
      <c r="QBY1" s="27"/>
      <c r="QBZ1" s="27"/>
      <c r="QCA1" s="27"/>
      <c r="QCB1" s="27"/>
      <c r="QCC1" s="27"/>
      <c r="QCD1" s="27"/>
      <c r="QCE1" s="27"/>
      <c r="QCF1" s="27"/>
      <c r="QCG1" s="27"/>
      <c r="QCH1" s="27"/>
      <c r="QCI1" s="27"/>
      <c r="QCJ1" s="27"/>
      <c r="QCK1" s="27"/>
      <c r="QCL1" s="27"/>
      <c r="QCM1" s="27"/>
      <c r="QCN1" s="27"/>
      <c r="QCO1" s="27"/>
      <c r="QCP1" s="27"/>
      <c r="QCQ1" s="27"/>
      <c r="QCR1" s="27"/>
      <c r="QCS1" s="27"/>
      <c r="QCT1" s="27"/>
      <c r="QCU1" s="27"/>
      <c r="QCV1" s="27"/>
      <c r="QCW1" s="27"/>
      <c r="QCX1" s="27"/>
      <c r="QCY1" s="27"/>
      <c r="QCZ1" s="27"/>
      <c r="QDA1" s="27"/>
      <c r="QDB1" s="27"/>
      <c r="QDC1" s="27"/>
      <c r="QDD1" s="27"/>
      <c r="QDE1" s="27"/>
      <c r="QDF1" s="27"/>
      <c r="QDG1" s="27"/>
      <c r="QDH1" s="27"/>
      <c r="QDI1" s="27"/>
      <c r="QDJ1" s="27"/>
      <c r="QDK1" s="27"/>
      <c r="QDL1" s="27"/>
      <c r="QDM1" s="27"/>
      <c r="QDN1" s="27"/>
      <c r="QDO1" s="27"/>
      <c r="QDP1" s="27"/>
      <c r="QDQ1" s="27"/>
      <c r="QDR1" s="27"/>
      <c r="QDS1" s="27"/>
      <c r="QDT1" s="27"/>
      <c r="QDU1" s="27"/>
      <c r="QDV1" s="27"/>
      <c r="QDW1" s="27"/>
      <c r="QDX1" s="27"/>
      <c r="QDY1" s="27"/>
      <c r="QDZ1" s="27"/>
      <c r="QEA1" s="27"/>
      <c r="QEB1" s="27"/>
      <c r="QEC1" s="27"/>
      <c r="QED1" s="27"/>
      <c r="QEE1" s="27"/>
      <c r="QEF1" s="27"/>
      <c r="QEG1" s="27"/>
      <c r="QEH1" s="27"/>
      <c r="QEI1" s="27"/>
      <c r="QEJ1" s="27"/>
      <c r="QEK1" s="27"/>
      <c r="QEL1" s="27"/>
      <c r="QEM1" s="27"/>
      <c r="QEN1" s="27"/>
      <c r="QEO1" s="27"/>
      <c r="QEP1" s="27"/>
      <c r="QEQ1" s="27"/>
      <c r="QER1" s="27"/>
      <c r="QES1" s="27"/>
      <c r="QET1" s="27"/>
      <c r="QEU1" s="27"/>
      <c r="QEV1" s="27"/>
      <c r="QEW1" s="27"/>
      <c r="QEX1" s="27"/>
      <c r="QEY1" s="27"/>
      <c r="QEZ1" s="27"/>
      <c r="QFA1" s="27"/>
      <c r="QFB1" s="27"/>
      <c r="QFC1" s="27"/>
      <c r="QFD1" s="27"/>
      <c r="QFE1" s="27"/>
      <c r="QFF1" s="27"/>
      <c r="QFG1" s="27"/>
      <c r="QFH1" s="27"/>
      <c r="QFI1" s="27"/>
      <c r="QFJ1" s="27"/>
      <c r="QFK1" s="27"/>
      <c r="QFL1" s="27"/>
      <c r="QFM1" s="27"/>
      <c r="QFN1" s="27"/>
      <c r="QFO1" s="27"/>
      <c r="QFP1" s="27"/>
      <c r="QFQ1" s="27"/>
      <c r="QFR1" s="27"/>
      <c r="QFS1" s="27"/>
      <c r="QFT1" s="27"/>
      <c r="QFU1" s="27"/>
      <c r="QFV1" s="27"/>
      <c r="QFW1" s="27"/>
      <c r="QFX1" s="27"/>
      <c r="QFY1" s="27"/>
      <c r="QFZ1" s="27"/>
      <c r="QGA1" s="27"/>
      <c r="QGB1" s="27"/>
      <c r="QGC1" s="27"/>
      <c r="QGD1" s="27"/>
      <c r="QGE1" s="27"/>
      <c r="QGF1" s="27"/>
      <c r="QGG1" s="27"/>
      <c r="QGH1" s="27"/>
      <c r="QGI1" s="27"/>
      <c r="QGJ1" s="27"/>
      <c r="QGK1" s="27"/>
      <c r="QGL1" s="27"/>
      <c r="QGM1" s="27"/>
      <c r="QGN1" s="27"/>
      <c r="QGO1" s="27"/>
      <c r="QGP1" s="27"/>
      <c r="QGQ1" s="27"/>
      <c r="QGR1" s="27"/>
      <c r="QGS1" s="27"/>
      <c r="QGT1" s="27"/>
      <c r="QGU1" s="27"/>
      <c r="QGV1" s="27"/>
      <c r="QGW1" s="27"/>
      <c r="QGX1" s="27"/>
      <c r="QGY1" s="27"/>
      <c r="QGZ1" s="27"/>
      <c r="QHA1" s="27"/>
      <c r="QHB1" s="27"/>
      <c r="QHC1" s="27"/>
      <c r="QHD1" s="27"/>
      <c r="QHE1" s="27"/>
      <c r="QHF1" s="27"/>
      <c r="QHG1" s="27"/>
      <c r="QHH1" s="27"/>
      <c r="QHI1" s="27"/>
      <c r="QHJ1" s="27"/>
      <c r="QHK1" s="27"/>
      <c r="QHL1" s="27"/>
      <c r="QHM1" s="27"/>
      <c r="QHN1" s="27"/>
      <c r="QHO1" s="27"/>
      <c r="QHP1" s="27"/>
      <c r="QHQ1" s="27"/>
      <c r="QHR1" s="27"/>
      <c r="QHS1" s="27"/>
      <c r="QHT1" s="27"/>
      <c r="QHU1" s="27"/>
      <c r="QHV1" s="27"/>
      <c r="QHW1" s="27"/>
      <c r="QHX1" s="27"/>
      <c r="QHY1" s="27"/>
      <c r="QHZ1" s="27"/>
      <c r="QIA1" s="27"/>
      <c r="QIB1" s="27"/>
      <c r="QIC1" s="27"/>
      <c r="QID1" s="27"/>
      <c r="QIE1" s="27"/>
      <c r="QIF1" s="27"/>
      <c r="QIG1" s="27"/>
      <c r="QIH1" s="27"/>
      <c r="QII1" s="27"/>
      <c r="QIJ1" s="27"/>
      <c r="QIK1" s="27"/>
      <c r="QIL1" s="27"/>
      <c r="QIM1" s="27"/>
      <c r="QIN1" s="27"/>
      <c r="QIO1" s="27"/>
      <c r="QIP1" s="27"/>
      <c r="QIQ1" s="27"/>
      <c r="QIR1" s="27"/>
      <c r="QIS1" s="27"/>
      <c r="QIT1" s="27"/>
      <c r="QIU1" s="27"/>
      <c r="QIV1" s="27"/>
      <c r="QIW1" s="27"/>
      <c r="QIX1" s="27"/>
      <c r="QIY1" s="27"/>
      <c r="QIZ1" s="27"/>
      <c r="QJA1" s="27"/>
      <c r="QJB1" s="27"/>
      <c r="QJC1" s="27"/>
      <c r="QJD1" s="27"/>
      <c r="QJE1" s="27"/>
      <c r="QJF1" s="27"/>
      <c r="QJG1" s="27"/>
      <c r="QJH1" s="27"/>
      <c r="QJI1" s="27"/>
      <c r="QJJ1" s="27"/>
      <c r="QJK1" s="27"/>
      <c r="QJL1" s="27"/>
      <c r="QJM1" s="27"/>
      <c r="QJN1" s="27"/>
      <c r="QJO1" s="27"/>
      <c r="QJP1" s="27"/>
      <c r="QJQ1" s="27"/>
      <c r="QJR1" s="27"/>
      <c r="QJS1" s="27"/>
      <c r="QJT1" s="27"/>
      <c r="QJU1" s="27"/>
      <c r="QJV1" s="27"/>
      <c r="QJW1" s="27"/>
      <c r="QJX1" s="27"/>
      <c r="QJY1" s="27"/>
      <c r="QJZ1" s="27"/>
      <c r="QKA1" s="27"/>
      <c r="QKB1" s="27"/>
      <c r="QKC1" s="27"/>
      <c r="QKD1" s="27"/>
      <c r="QKE1" s="27"/>
      <c r="QKF1" s="27"/>
      <c r="QKG1" s="27"/>
      <c r="QKH1" s="27"/>
      <c r="QKI1" s="27"/>
      <c r="QKJ1" s="27"/>
      <c r="QKK1" s="27"/>
      <c r="QKL1" s="27"/>
      <c r="QKM1" s="27"/>
      <c r="QKN1" s="27"/>
      <c r="QKO1" s="27"/>
      <c r="QKP1" s="27"/>
      <c r="QKQ1" s="27"/>
      <c r="QKR1" s="27"/>
      <c r="QKS1" s="27"/>
      <c r="QKT1" s="27"/>
      <c r="QKU1" s="27"/>
      <c r="QKV1" s="27"/>
      <c r="QKW1" s="27"/>
      <c r="QKX1" s="27"/>
      <c r="QKY1" s="27"/>
      <c r="QKZ1" s="27"/>
      <c r="QLA1" s="27"/>
      <c r="QLB1" s="27"/>
      <c r="QLC1" s="27"/>
      <c r="QLD1" s="27"/>
      <c r="QLE1" s="27"/>
      <c r="QLF1" s="27"/>
      <c r="QLG1" s="27"/>
      <c r="QLH1" s="27"/>
      <c r="QLI1" s="27"/>
      <c r="QLJ1" s="27"/>
      <c r="QLK1" s="27"/>
      <c r="QLL1" s="27"/>
      <c r="QLM1" s="27"/>
      <c r="QLN1" s="27"/>
      <c r="QLO1" s="27"/>
      <c r="QLP1" s="27"/>
      <c r="QLQ1" s="27"/>
      <c r="QLR1" s="27"/>
      <c r="QLS1" s="27"/>
      <c r="QLT1" s="27"/>
      <c r="QLU1" s="27"/>
      <c r="QLV1" s="27"/>
      <c r="QLW1" s="27"/>
      <c r="QLX1" s="27"/>
      <c r="QLY1" s="27"/>
      <c r="QLZ1" s="27"/>
      <c r="QMA1" s="27"/>
      <c r="QMB1" s="27"/>
      <c r="QMC1" s="27"/>
      <c r="QMD1" s="27"/>
      <c r="QME1" s="27"/>
      <c r="QMF1" s="27"/>
      <c r="QMG1" s="27"/>
      <c r="QMH1" s="27"/>
      <c r="QMI1" s="27"/>
      <c r="QMJ1" s="27"/>
      <c r="QMK1" s="27"/>
      <c r="QML1" s="27"/>
      <c r="QMM1" s="27"/>
      <c r="QMN1" s="27"/>
      <c r="QMO1" s="27"/>
      <c r="QMP1" s="27"/>
      <c r="QMQ1" s="27"/>
      <c r="QMR1" s="27"/>
      <c r="QMS1" s="27"/>
      <c r="QMT1" s="27"/>
      <c r="QMU1" s="27"/>
      <c r="QMV1" s="27"/>
      <c r="QMW1" s="27"/>
      <c r="QMX1" s="27"/>
      <c r="QMY1" s="27"/>
      <c r="QMZ1" s="27"/>
      <c r="QNA1" s="27"/>
      <c r="QNB1" s="27"/>
      <c r="QNC1" s="27"/>
      <c r="QND1" s="27"/>
      <c r="QNE1" s="27"/>
      <c r="QNF1" s="27"/>
      <c r="QNG1" s="27"/>
      <c r="QNH1" s="27"/>
      <c r="QNI1" s="27"/>
      <c r="QNJ1" s="27"/>
      <c r="QNK1" s="27"/>
      <c r="QNL1" s="27"/>
      <c r="QNM1" s="27"/>
      <c r="QNN1" s="27"/>
      <c r="QNO1" s="27"/>
      <c r="QNP1" s="27"/>
      <c r="QNQ1" s="27"/>
      <c r="QNR1" s="27"/>
      <c r="QNS1" s="27"/>
      <c r="QNT1" s="27"/>
      <c r="QNU1" s="27"/>
      <c r="QNV1" s="27"/>
      <c r="QNW1" s="27"/>
      <c r="QNX1" s="27"/>
      <c r="QNY1" s="27"/>
      <c r="QNZ1" s="27"/>
      <c r="QOA1" s="27"/>
      <c r="QOB1" s="27"/>
      <c r="QOC1" s="27"/>
      <c r="QOD1" s="27"/>
      <c r="QOE1" s="27"/>
      <c r="QOF1" s="27"/>
      <c r="QOG1" s="27"/>
      <c r="QOH1" s="27"/>
      <c r="QOI1" s="27"/>
      <c r="QOJ1" s="27"/>
      <c r="QOK1" s="27"/>
      <c r="QOL1" s="27"/>
      <c r="QOM1" s="27"/>
      <c r="QON1" s="27"/>
      <c r="QOO1" s="27"/>
      <c r="QOP1" s="27"/>
      <c r="QOQ1" s="27"/>
      <c r="QOR1" s="27"/>
      <c r="QOS1" s="27"/>
      <c r="QOT1" s="27"/>
      <c r="QOU1" s="27"/>
      <c r="QOV1" s="27"/>
      <c r="QOW1" s="27"/>
      <c r="QOX1" s="27"/>
      <c r="QOY1" s="27"/>
      <c r="QOZ1" s="27"/>
      <c r="QPA1" s="27"/>
      <c r="QPB1" s="27"/>
      <c r="QPC1" s="27"/>
      <c r="QPD1" s="27"/>
      <c r="QPE1" s="27"/>
      <c r="QPF1" s="27"/>
      <c r="QPG1" s="27"/>
      <c r="QPH1" s="27"/>
      <c r="QPI1" s="27"/>
      <c r="QPJ1" s="27"/>
      <c r="QPK1" s="27"/>
      <c r="QPL1" s="27"/>
      <c r="QPM1" s="27"/>
      <c r="QPN1" s="27"/>
      <c r="QPO1" s="27"/>
      <c r="QPP1" s="27"/>
      <c r="QPQ1" s="27"/>
      <c r="QPR1" s="27"/>
      <c r="QPS1" s="27"/>
      <c r="QPT1" s="27"/>
      <c r="QPU1" s="27"/>
      <c r="QPV1" s="27"/>
      <c r="QPW1" s="27"/>
      <c r="QPX1" s="27"/>
      <c r="QPY1" s="27"/>
      <c r="QPZ1" s="27"/>
      <c r="QQA1" s="27"/>
      <c r="QQB1" s="27"/>
      <c r="QQC1" s="27"/>
      <c r="QQD1" s="27"/>
      <c r="QQE1" s="27"/>
      <c r="QQF1" s="27"/>
      <c r="QQG1" s="27"/>
      <c r="QQH1" s="27"/>
      <c r="QQI1" s="27"/>
      <c r="QQJ1" s="27"/>
      <c r="QQK1" s="27"/>
      <c r="QQL1" s="27"/>
      <c r="QQM1" s="27"/>
      <c r="QQN1" s="27"/>
      <c r="QQO1" s="27"/>
      <c r="QQP1" s="27"/>
      <c r="QQQ1" s="27"/>
      <c r="QQR1" s="27"/>
      <c r="QQS1" s="27"/>
      <c r="QQT1" s="27"/>
      <c r="QQU1" s="27"/>
      <c r="QQV1" s="27"/>
      <c r="QQW1" s="27"/>
      <c r="QQX1" s="27"/>
      <c r="QQY1" s="27"/>
      <c r="QQZ1" s="27"/>
      <c r="QRA1" s="27"/>
      <c r="QRB1" s="27"/>
      <c r="QRC1" s="27"/>
      <c r="QRD1" s="27"/>
      <c r="QRE1" s="27"/>
      <c r="QRF1" s="27"/>
      <c r="QRG1" s="27"/>
      <c r="QRH1" s="27"/>
      <c r="QRI1" s="27"/>
      <c r="QRJ1" s="27"/>
      <c r="QRK1" s="27"/>
      <c r="QRL1" s="27"/>
      <c r="QRM1" s="27"/>
      <c r="QRN1" s="27"/>
      <c r="QRO1" s="27"/>
      <c r="QRP1" s="27"/>
      <c r="QRQ1" s="27"/>
      <c r="QRR1" s="27"/>
      <c r="QRS1" s="27"/>
      <c r="QRT1" s="27"/>
      <c r="QRU1" s="27"/>
      <c r="QRV1" s="27"/>
      <c r="QRW1" s="27"/>
      <c r="QRX1" s="27"/>
      <c r="QRY1" s="27"/>
      <c r="QRZ1" s="27"/>
      <c r="QSA1" s="27"/>
      <c r="QSB1" s="27"/>
      <c r="QSC1" s="27"/>
      <c r="QSD1" s="27"/>
      <c r="QSE1" s="27"/>
      <c r="QSF1" s="27"/>
      <c r="QSG1" s="27"/>
      <c r="QSH1" s="27"/>
      <c r="QSI1" s="27"/>
      <c r="QSJ1" s="27"/>
      <c r="QSK1" s="27"/>
      <c r="QSL1" s="27"/>
      <c r="QSM1" s="27"/>
      <c r="QSN1" s="27"/>
      <c r="QSO1" s="27"/>
      <c r="QSP1" s="27"/>
      <c r="QSQ1" s="27"/>
      <c r="QSR1" s="27"/>
      <c r="QSS1" s="27"/>
      <c r="QST1" s="27"/>
      <c r="QSU1" s="27"/>
      <c r="QSV1" s="27"/>
      <c r="QSW1" s="27"/>
      <c r="QSX1" s="27"/>
      <c r="QSY1" s="27"/>
      <c r="QSZ1" s="27"/>
      <c r="QTA1" s="27"/>
      <c r="QTB1" s="27"/>
      <c r="QTC1" s="27"/>
      <c r="QTD1" s="27"/>
      <c r="QTE1" s="27"/>
      <c r="QTF1" s="27"/>
      <c r="QTG1" s="27"/>
      <c r="QTH1" s="27"/>
      <c r="QTI1" s="27"/>
      <c r="QTJ1" s="27"/>
      <c r="QTK1" s="27"/>
      <c r="QTL1" s="27"/>
      <c r="QTM1" s="27"/>
      <c r="QTN1" s="27"/>
      <c r="QTO1" s="27"/>
      <c r="QTP1" s="27"/>
      <c r="QTQ1" s="27"/>
      <c r="QTR1" s="27"/>
      <c r="QTS1" s="27"/>
      <c r="QTT1" s="27"/>
      <c r="QTU1" s="27"/>
      <c r="QTV1" s="27"/>
      <c r="QTW1" s="27"/>
      <c r="QTX1" s="27"/>
      <c r="QTY1" s="27"/>
      <c r="QTZ1" s="27"/>
      <c r="QUA1" s="27"/>
      <c r="QUB1" s="27"/>
      <c r="QUC1" s="27"/>
      <c r="QUD1" s="27"/>
      <c r="QUE1" s="27"/>
      <c r="QUF1" s="27"/>
      <c r="QUG1" s="27"/>
      <c r="QUH1" s="27"/>
      <c r="QUI1" s="27"/>
      <c r="QUJ1" s="27"/>
      <c r="QUK1" s="27"/>
      <c r="QUL1" s="27"/>
      <c r="QUM1" s="27"/>
      <c r="QUN1" s="27"/>
      <c r="QUO1" s="27"/>
      <c r="QUP1" s="27"/>
      <c r="QUQ1" s="27"/>
      <c r="QUR1" s="27"/>
      <c r="QUS1" s="27"/>
      <c r="QUT1" s="27"/>
      <c r="QUU1" s="27"/>
      <c r="QUV1" s="27"/>
      <c r="QUW1" s="27"/>
      <c r="QUX1" s="27"/>
      <c r="QUY1" s="27"/>
      <c r="QUZ1" s="27"/>
      <c r="QVA1" s="27"/>
      <c r="QVB1" s="27"/>
      <c r="QVC1" s="27"/>
      <c r="QVD1" s="27"/>
      <c r="QVE1" s="27"/>
      <c r="QVF1" s="27"/>
      <c r="QVG1" s="27"/>
      <c r="QVH1" s="27"/>
      <c r="QVI1" s="27"/>
      <c r="QVJ1" s="27"/>
      <c r="QVK1" s="27"/>
      <c r="QVL1" s="27"/>
      <c r="QVM1" s="27"/>
      <c r="QVN1" s="27"/>
      <c r="QVO1" s="27"/>
      <c r="QVP1" s="27"/>
      <c r="QVQ1" s="27"/>
      <c r="QVR1" s="27"/>
      <c r="QVS1" s="27"/>
      <c r="QVT1" s="27"/>
      <c r="QVU1" s="27"/>
      <c r="QVV1" s="27"/>
      <c r="QVW1" s="27"/>
      <c r="QVX1" s="27"/>
      <c r="QVY1" s="27"/>
      <c r="QVZ1" s="27"/>
      <c r="QWA1" s="27"/>
      <c r="QWB1" s="27"/>
      <c r="QWC1" s="27"/>
      <c r="QWD1" s="27"/>
      <c r="QWE1" s="27"/>
      <c r="QWF1" s="27"/>
      <c r="QWG1" s="27"/>
      <c r="QWH1" s="27"/>
      <c r="QWI1" s="27"/>
      <c r="QWJ1" s="27"/>
      <c r="QWK1" s="27"/>
      <c r="QWL1" s="27"/>
      <c r="QWM1" s="27"/>
      <c r="QWN1" s="27"/>
      <c r="QWO1" s="27"/>
      <c r="QWP1" s="27"/>
      <c r="QWQ1" s="27"/>
      <c r="QWR1" s="27"/>
      <c r="QWS1" s="27"/>
      <c r="QWT1" s="27"/>
      <c r="QWU1" s="27"/>
      <c r="QWV1" s="27"/>
      <c r="QWW1" s="27"/>
      <c r="QWX1" s="27"/>
      <c r="QWY1" s="27"/>
      <c r="QWZ1" s="27"/>
      <c r="QXA1" s="27"/>
      <c r="QXB1" s="27"/>
      <c r="QXC1" s="27"/>
      <c r="QXD1" s="27"/>
      <c r="QXE1" s="27"/>
      <c r="QXF1" s="27"/>
      <c r="QXG1" s="27"/>
      <c r="QXH1" s="27"/>
      <c r="QXI1" s="27"/>
      <c r="QXJ1" s="27"/>
      <c r="QXK1" s="27"/>
      <c r="QXL1" s="27"/>
      <c r="QXM1" s="27"/>
      <c r="QXN1" s="27"/>
      <c r="QXO1" s="27"/>
      <c r="QXP1" s="27"/>
      <c r="QXQ1" s="27"/>
      <c r="QXR1" s="27"/>
      <c r="QXS1" s="27"/>
      <c r="QXT1" s="27"/>
      <c r="QXU1" s="27"/>
      <c r="QXV1" s="27"/>
      <c r="QXW1" s="27"/>
      <c r="QXX1" s="27"/>
      <c r="QXY1" s="27"/>
      <c r="QXZ1" s="27"/>
      <c r="QYA1" s="27"/>
      <c r="QYB1" s="27"/>
      <c r="QYC1" s="27"/>
      <c r="QYD1" s="27"/>
      <c r="QYE1" s="27"/>
      <c r="QYF1" s="27"/>
      <c r="QYG1" s="27"/>
      <c r="QYH1" s="27"/>
      <c r="QYI1" s="27"/>
      <c r="QYJ1" s="27"/>
      <c r="QYK1" s="27"/>
      <c r="QYL1" s="27"/>
      <c r="QYM1" s="27"/>
      <c r="QYN1" s="27"/>
      <c r="QYO1" s="27"/>
      <c r="QYP1" s="27"/>
      <c r="QYQ1" s="27"/>
      <c r="QYR1" s="27"/>
      <c r="QYS1" s="27"/>
      <c r="QYT1" s="27"/>
      <c r="QYU1" s="27"/>
      <c r="QYV1" s="27"/>
      <c r="QYW1" s="27"/>
      <c r="QYX1" s="27"/>
      <c r="QYY1" s="27"/>
      <c r="QYZ1" s="27"/>
      <c r="QZA1" s="27"/>
      <c r="QZB1" s="27"/>
      <c r="QZC1" s="27"/>
      <c r="QZD1" s="27"/>
      <c r="QZE1" s="27"/>
      <c r="QZF1" s="27"/>
      <c r="QZG1" s="27"/>
      <c r="QZH1" s="27"/>
      <c r="QZI1" s="27"/>
      <c r="QZJ1" s="27"/>
      <c r="QZK1" s="27"/>
      <c r="QZL1" s="27"/>
      <c r="QZM1" s="27"/>
      <c r="QZN1" s="27"/>
      <c r="QZO1" s="27"/>
      <c r="QZP1" s="27"/>
      <c r="QZQ1" s="27"/>
      <c r="QZR1" s="27"/>
      <c r="QZS1" s="27"/>
      <c r="QZT1" s="27"/>
      <c r="QZU1" s="27"/>
      <c r="QZV1" s="27"/>
      <c r="QZW1" s="27"/>
      <c r="QZX1" s="27"/>
      <c r="QZY1" s="27"/>
      <c r="QZZ1" s="27"/>
      <c r="RAA1" s="27"/>
      <c r="RAB1" s="27"/>
      <c r="RAC1" s="27"/>
      <c r="RAD1" s="27"/>
      <c r="RAE1" s="27"/>
      <c r="RAF1" s="27"/>
      <c r="RAG1" s="27"/>
      <c r="RAH1" s="27"/>
      <c r="RAI1" s="27"/>
      <c r="RAJ1" s="27"/>
      <c r="RAK1" s="27"/>
      <c r="RAL1" s="27"/>
      <c r="RAM1" s="27"/>
      <c r="RAN1" s="27"/>
      <c r="RAO1" s="27"/>
      <c r="RAP1" s="27"/>
      <c r="RAQ1" s="27"/>
      <c r="RAR1" s="27"/>
      <c r="RAS1" s="27"/>
      <c r="RAT1" s="27"/>
      <c r="RAU1" s="27"/>
      <c r="RAV1" s="27"/>
      <c r="RAW1" s="27"/>
      <c r="RAX1" s="27"/>
      <c r="RAY1" s="27"/>
      <c r="RAZ1" s="27"/>
      <c r="RBA1" s="27"/>
      <c r="RBB1" s="27"/>
      <c r="RBC1" s="27"/>
      <c r="RBD1" s="27"/>
      <c r="RBE1" s="27"/>
      <c r="RBF1" s="27"/>
      <c r="RBG1" s="27"/>
      <c r="RBH1" s="27"/>
      <c r="RBI1" s="27"/>
      <c r="RBJ1" s="27"/>
      <c r="RBK1" s="27"/>
      <c r="RBL1" s="27"/>
      <c r="RBM1" s="27"/>
      <c r="RBN1" s="27"/>
      <c r="RBO1" s="27"/>
      <c r="RBP1" s="27"/>
      <c r="RBQ1" s="27"/>
      <c r="RBR1" s="27"/>
      <c r="RBS1" s="27"/>
      <c r="RBT1" s="27"/>
      <c r="RBU1" s="27"/>
      <c r="RBV1" s="27"/>
      <c r="RBW1" s="27"/>
      <c r="RBX1" s="27"/>
      <c r="RBY1" s="27"/>
      <c r="RBZ1" s="27"/>
      <c r="RCA1" s="27"/>
      <c r="RCB1" s="27"/>
      <c r="RCC1" s="27"/>
      <c r="RCD1" s="27"/>
      <c r="RCE1" s="27"/>
      <c r="RCF1" s="27"/>
      <c r="RCG1" s="27"/>
      <c r="RCH1" s="27"/>
      <c r="RCI1" s="27"/>
      <c r="RCJ1" s="27"/>
      <c r="RCK1" s="27"/>
      <c r="RCL1" s="27"/>
      <c r="RCM1" s="27"/>
      <c r="RCN1" s="27"/>
      <c r="RCO1" s="27"/>
      <c r="RCP1" s="27"/>
      <c r="RCQ1" s="27"/>
      <c r="RCR1" s="27"/>
      <c r="RCS1" s="27"/>
      <c r="RCT1" s="27"/>
      <c r="RCU1" s="27"/>
      <c r="RCV1" s="27"/>
      <c r="RCW1" s="27"/>
      <c r="RCX1" s="27"/>
      <c r="RCY1" s="27"/>
      <c r="RCZ1" s="27"/>
      <c r="RDA1" s="27"/>
      <c r="RDB1" s="27"/>
      <c r="RDC1" s="27"/>
      <c r="RDD1" s="27"/>
      <c r="RDE1" s="27"/>
      <c r="RDF1" s="27"/>
      <c r="RDG1" s="27"/>
      <c r="RDH1" s="27"/>
      <c r="RDI1" s="27"/>
      <c r="RDJ1" s="27"/>
      <c r="RDK1" s="27"/>
      <c r="RDL1" s="27"/>
      <c r="RDM1" s="27"/>
      <c r="RDN1" s="27"/>
      <c r="RDO1" s="27"/>
      <c r="RDP1" s="27"/>
      <c r="RDQ1" s="27"/>
      <c r="RDR1" s="27"/>
      <c r="RDS1" s="27"/>
      <c r="RDT1" s="27"/>
      <c r="RDU1" s="27"/>
      <c r="RDV1" s="27"/>
      <c r="RDW1" s="27"/>
      <c r="RDX1" s="27"/>
      <c r="RDY1" s="27"/>
      <c r="RDZ1" s="27"/>
      <c r="REA1" s="27"/>
      <c r="REB1" s="27"/>
      <c r="REC1" s="27"/>
      <c r="RED1" s="27"/>
      <c r="REE1" s="27"/>
      <c r="REF1" s="27"/>
      <c r="REG1" s="27"/>
      <c r="REH1" s="27"/>
      <c r="REI1" s="27"/>
      <c r="REJ1" s="27"/>
      <c r="REK1" s="27"/>
      <c r="REL1" s="27"/>
      <c r="REM1" s="27"/>
      <c r="REN1" s="27"/>
      <c r="REO1" s="27"/>
      <c r="REP1" s="27"/>
      <c r="REQ1" s="27"/>
      <c r="RER1" s="27"/>
      <c r="RES1" s="27"/>
      <c r="RET1" s="27"/>
      <c r="REU1" s="27"/>
      <c r="REV1" s="27"/>
      <c r="REW1" s="27"/>
      <c r="REX1" s="27"/>
      <c r="REY1" s="27"/>
      <c r="REZ1" s="27"/>
      <c r="RFA1" s="27"/>
      <c r="RFB1" s="27"/>
      <c r="RFC1" s="27"/>
      <c r="RFD1" s="27"/>
      <c r="RFE1" s="27"/>
      <c r="RFF1" s="27"/>
      <c r="RFG1" s="27"/>
      <c r="RFH1" s="27"/>
      <c r="RFI1" s="27"/>
      <c r="RFJ1" s="27"/>
      <c r="RFK1" s="27"/>
      <c r="RFL1" s="27"/>
      <c r="RFM1" s="27"/>
      <c r="RFN1" s="27"/>
      <c r="RFO1" s="27"/>
      <c r="RFP1" s="27"/>
      <c r="RFQ1" s="27"/>
      <c r="RFR1" s="27"/>
      <c r="RFS1" s="27"/>
      <c r="RFT1" s="27"/>
      <c r="RFU1" s="27"/>
      <c r="RFV1" s="27"/>
      <c r="RFW1" s="27"/>
      <c r="RFX1" s="27"/>
      <c r="RFY1" s="27"/>
      <c r="RFZ1" s="27"/>
      <c r="RGA1" s="27"/>
      <c r="RGB1" s="27"/>
      <c r="RGC1" s="27"/>
      <c r="RGD1" s="27"/>
      <c r="RGE1" s="27"/>
      <c r="RGF1" s="27"/>
      <c r="RGG1" s="27"/>
      <c r="RGH1" s="27"/>
      <c r="RGI1" s="27"/>
      <c r="RGJ1" s="27"/>
      <c r="RGK1" s="27"/>
      <c r="RGL1" s="27"/>
      <c r="RGM1" s="27"/>
      <c r="RGN1" s="27"/>
      <c r="RGO1" s="27"/>
      <c r="RGP1" s="27"/>
      <c r="RGQ1" s="27"/>
      <c r="RGR1" s="27"/>
      <c r="RGS1" s="27"/>
      <c r="RGT1" s="27"/>
      <c r="RGU1" s="27"/>
      <c r="RGV1" s="27"/>
      <c r="RGW1" s="27"/>
      <c r="RGX1" s="27"/>
      <c r="RGY1" s="27"/>
      <c r="RGZ1" s="27"/>
      <c r="RHA1" s="27"/>
      <c r="RHB1" s="27"/>
      <c r="RHC1" s="27"/>
      <c r="RHD1" s="27"/>
      <c r="RHE1" s="27"/>
      <c r="RHF1" s="27"/>
      <c r="RHG1" s="27"/>
      <c r="RHH1" s="27"/>
      <c r="RHI1" s="27"/>
      <c r="RHJ1" s="27"/>
      <c r="RHK1" s="27"/>
      <c r="RHL1" s="27"/>
      <c r="RHM1" s="27"/>
      <c r="RHN1" s="27"/>
      <c r="RHO1" s="27"/>
      <c r="RHP1" s="27"/>
      <c r="RHQ1" s="27"/>
      <c r="RHR1" s="27"/>
      <c r="RHS1" s="27"/>
      <c r="RHT1" s="27"/>
      <c r="RHU1" s="27"/>
      <c r="RHV1" s="27"/>
      <c r="RHW1" s="27"/>
      <c r="RHX1" s="27"/>
      <c r="RHY1" s="27"/>
      <c r="RHZ1" s="27"/>
      <c r="RIA1" s="27"/>
      <c r="RIB1" s="27"/>
      <c r="RIC1" s="27"/>
      <c r="RID1" s="27"/>
      <c r="RIE1" s="27"/>
      <c r="RIF1" s="27"/>
      <c r="RIG1" s="27"/>
      <c r="RIH1" s="27"/>
      <c r="RII1" s="27"/>
      <c r="RIJ1" s="27"/>
      <c r="RIK1" s="27"/>
      <c r="RIL1" s="27"/>
      <c r="RIM1" s="27"/>
      <c r="RIN1" s="27"/>
      <c r="RIO1" s="27"/>
      <c r="RIP1" s="27"/>
      <c r="RIQ1" s="27"/>
      <c r="RIR1" s="27"/>
      <c r="RIS1" s="27"/>
      <c r="RIT1" s="27"/>
      <c r="RIU1" s="27"/>
      <c r="RIV1" s="27"/>
      <c r="RIW1" s="27"/>
      <c r="RIX1" s="27"/>
      <c r="RIY1" s="27"/>
      <c r="RIZ1" s="27"/>
      <c r="RJA1" s="27"/>
      <c r="RJB1" s="27"/>
      <c r="RJC1" s="27"/>
      <c r="RJD1" s="27"/>
      <c r="RJE1" s="27"/>
      <c r="RJF1" s="27"/>
      <c r="RJG1" s="27"/>
      <c r="RJH1" s="27"/>
      <c r="RJI1" s="27"/>
      <c r="RJJ1" s="27"/>
      <c r="RJK1" s="27"/>
      <c r="RJL1" s="27"/>
      <c r="RJM1" s="27"/>
      <c r="RJN1" s="27"/>
      <c r="RJO1" s="27"/>
      <c r="RJP1" s="27"/>
      <c r="RJQ1" s="27"/>
      <c r="RJR1" s="27"/>
      <c r="RJS1" s="27"/>
      <c r="RJT1" s="27"/>
      <c r="RJU1" s="27"/>
      <c r="RJV1" s="27"/>
      <c r="RJW1" s="27"/>
      <c r="RJX1" s="27"/>
      <c r="RJY1" s="27"/>
      <c r="RJZ1" s="27"/>
      <c r="RKA1" s="27"/>
      <c r="RKB1" s="27"/>
      <c r="RKC1" s="27"/>
      <c r="RKD1" s="27"/>
      <c r="RKE1" s="27"/>
      <c r="RKF1" s="27"/>
      <c r="RKG1" s="27"/>
      <c r="RKH1" s="27"/>
      <c r="RKI1" s="27"/>
      <c r="RKJ1" s="27"/>
      <c r="RKK1" s="27"/>
      <c r="RKL1" s="27"/>
      <c r="RKM1" s="27"/>
      <c r="RKN1" s="27"/>
      <c r="RKO1" s="27"/>
      <c r="RKP1" s="27"/>
      <c r="RKQ1" s="27"/>
      <c r="RKR1" s="27"/>
      <c r="RKS1" s="27"/>
      <c r="RKT1" s="27"/>
      <c r="RKU1" s="27"/>
      <c r="RKV1" s="27"/>
      <c r="RKW1" s="27"/>
      <c r="RKX1" s="27"/>
      <c r="RKY1" s="27"/>
      <c r="RKZ1" s="27"/>
      <c r="RLA1" s="27"/>
      <c r="RLB1" s="27"/>
      <c r="RLC1" s="27"/>
      <c r="RLD1" s="27"/>
      <c r="RLE1" s="27"/>
      <c r="RLF1" s="27"/>
      <c r="RLG1" s="27"/>
      <c r="RLH1" s="27"/>
      <c r="RLI1" s="27"/>
      <c r="RLJ1" s="27"/>
      <c r="RLK1" s="27"/>
      <c r="RLL1" s="27"/>
      <c r="RLM1" s="27"/>
      <c r="RLN1" s="27"/>
      <c r="RLO1" s="27"/>
      <c r="RLP1" s="27"/>
      <c r="RLQ1" s="27"/>
      <c r="RLR1" s="27"/>
      <c r="RLS1" s="27"/>
      <c r="RLT1" s="27"/>
      <c r="RLU1" s="27"/>
      <c r="RLV1" s="27"/>
      <c r="RLW1" s="27"/>
      <c r="RLX1" s="27"/>
      <c r="RLY1" s="27"/>
      <c r="RLZ1" s="27"/>
      <c r="RMA1" s="27"/>
      <c r="RMB1" s="27"/>
      <c r="RMC1" s="27"/>
      <c r="RMD1" s="27"/>
      <c r="RME1" s="27"/>
      <c r="RMF1" s="27"/>
      <c r="RMG1" s="27"/>
      <c r="RMH1" s="27"/>
      <c r="RMI1" s="27"/>
      <c r="RMJ1" s="27"/>
      <c r="RMK1" s="27"/>
      <c r="RML1" s="27"/>
      <c r="RMM1" s="27"/>
      <c r="RMN1" s="27"/>
      <c r="RMO1" s="27"/>
      <c r="RMP1" s="27"/>
      <c r="RMQ1" s="27"/>
      <c r="RMR1" s="27"/>
      <c r="RMS1" s="27"/>
      <c r="RMT1" s="27"/>
      <c r="RMU1" s="27"/>
      <c r="RMV1" s="27"/>
      <c r="RMW1" s="27"/>
      <c r="RMX1" s="27"/>
      <c r="RMY1" s="27"/>
      <c r="RMZ1" s="27"/>
      <c r="RNA1" s="27"/>
      <c r="RNB1" s="27"/>
      <c r="RNC1" s="27"/>
      <c r="RND1" s="27"/>
      <c r="RNE1" s="27"/>
      <c r="RNF1" s="27"/>
      <c r="RNG1" s="27"/>
      <c r="RNH1" s="27"/>
      <c r="RNI1" s="27"/>
      <c r="RNJ1" s="27"/>
      <c r="RNK1" s="27"/>
      <c r="RNL1" s="27"/>
      <c r="RNM1" s="27"/>
      <c r="RNN1" s="27"/>
      <c r="RNO1" s="27"/>
      <c r="RNP1" s="27"/>
      <c r="RNQ1" s="27"/>
      <c r="RNR1" s="27"/>
      <c r="RNS1" s="27"/>
      <c r="RNT1" s="27"/>
      <c r="RNU1" s="27"/>
      <c r="RNV1" s="27"/>
      <c r="RNW1" s="27"/>
      <c r="RNX1" s="27"/>
      <c r="RNY1" s="27"/>
      <c r="RNZ1" s="27"/>
      <c r="ROA1" s="27"/>
      <c r="ROB1" s="27"/>
      <c r="ROC1" s="27"/>
      <c r="ROD1" s="27"/>
      <c r="ROE1" s="27"/>
      <c r="ROF1" s="27"/>
      <c r="ROG1" s="27"/>
      <c r="ROH1" s="27"/>
      <c r="ROI1" s="27"/>
      <c r="ROJ1" s="27"/>
      <c r="ROK1" s="27"/>
      <c r="ROL1" s="27"/>
      <c r="ROM1" s="27"/>
      <c r="RON1" s="27"/>
      <c r="ROO1" s="27"/>
      <c r="ROP1" s="27"/>
      <c r="ROQ1" s="27"/>
      <c r="ROR1" s="27"/>
      <c r="ROS1" s="27"/>
      <c r="ROT1" s="27"/>
      <c r="ROU1" s="27"/>
      <c r="ROV1" s="27"/>
      <c r="ROW1" s="27"/>
      <c r="ROX1" s="27"/>
      <c r="ROY1" s="27"/>
      <c r="ROZ1" s="27"/>
      <c r="RPA1" s="27"/>
      <c r="RPB1" s="27"/>
      <c r="RPC1" s="27"/>
      <c r="RPD1" s="27"/>
      <c r="RPE1" s="27"/>
      <c r="RPF1" s="27"/>
      <c r="RPG1" s="27"/>
      <c r="RPH1" s="27"/>
      <c r="RPI1" s="27"/>
      <c r="RPJ1" s="27"/>
      <c r="RPK1" s="27"/>
      <c r="RPL1" s="27"/>
      <c r="RPM1" s="27"/>
      <c r="RPN1" s="27"/>
      <c r="RPO1" s="27"/>
      <c r="RPP1" s="27"/>
      <c r="RPQ1" s="27"/>
      <c r="RPR1" s="27"/>
      <c r="RPS1" s="27"/>
      <c r="RPT1" s="27"/>
      <c r="RPU1" s="27"/>
      <c r="RPV1" s="27"/>
      <c r="RPW1" s="27"/>
      <c r="RPX1" s="27"/>
      <c r="RPY1" s="27"/>
      <c r="RPZ1" s="27"/>
      <c r="RQA1" s="27"/>
      <c r="RQB1" s="27"/>
      <c r="RQC1" s="27"/>
      <c r="RQD1" s="27"/>
      <c r="RQE1" s="27"/>
      <c r="RQF1" s="27"/>
      <c r="RQG1" s="27"/>
      <c r="RQH1" s="27"/>
      <c r="RQI1" s="27"/>
      <c r="RQJ1" s="27"/>
      <c r="RQK1" s="27"/>
      <c r="RQL1" s="27"/>
      <c r="RQM1" s="27"/>
      <c r="RQN1" s="27"/>
      <c r="RQO1" s="27"/>
      <c r="RQP1" s="27"/>
      <c r="RQQ1" s="27"/>
      <c r="RQR1" s="27"/>
      <c r="RQS1" s="27"/>
      <c r="RQT1" s="27"/>
      <c r="RQU1" s="27"/>
      <c r="RQV1" s="27"/>
      <c r="RQW1" s="27"/>
      <c r="RQX1" s="27"/>
      <c r="RQY1" s="27"/>
      <c r="RQZ1" s="27"/>
      <c r="RRA1" s="27"/>
      <c r="RRB1" s="27"/>
      <c r="RRC1" s="27"/>
      <c r="RRD1" s="27"/>
      <c r="RRE1" s="27"/>
      <c r="RRF1" s="27"/>
      <c r="RRG1" s="27"/>
      <c r="RRH1" s="27"/>
      <c r="RRI1" s="27"/>
      <c r="RRJ1" s="27"/>
      <c r="RRK1" s="27"/>
      <c r="RRL1" s="27"/>
      <c r="RRM1" s="27"/>
      <c r="RRN1" s="27"/>
      <c r="RRO1" s="27"/>
      <c r="RRP1" s="27"/>
      <c r="RRQ1" s="27"/>
      <c r="RRR1" s="27"/>
      <c r="RRS1" s="27"/>
      <c r="RRT1" s="27"/>
      <c r="RRU1" s="27"/>
      <c r="RRV1" s="27"/>
      <c r="RRW1" s="27"/>
      <c r="RRX1" s="27"/>
      <c r="RRY1" s="27"/>
      <c r="RRZ1" s="27"/>
      <c r="RSA1" s="27"/>
      <c r="RSB1" s="27"/>
      <c r="RSC1" s="27"/>
      <c r="RSD1" s="27"/>
      <c r="RSE1" s="27"/>
      <c r="RSF1" s="27"/>
      <c r="RSG1" s="27"/>
      <c r="RSH1" s="27"/>
      <c r="RSI1" s="27"/>
      <c r="RSJ1" s="27"/>
      <c r="RSK1" s="27"/>
      <c r="RSL1" s="27"/>
      <c r="RSM1" s="27"/>
      <c r="RSN1" s="27"/>
      <c r="RSO1" s="27"/>
      <c r="RSP1" s="27"/>
      <c r="RSQ1" s="27"/>
      <c r="RSR1" s="27"/>
      <c r="RSS1" s="27"/>
      <c r="RST1" s="27"/>
      <c r="RSU1" s="27"/>
      <c r="RSV1" s="27"/>
      <c r="RSW1" s="27"/>
      <c r="RSX1" s="27"/>
      <c r="RSY1" s="27"/>
      <c r="RSZ1" s="27"/>
      <c r="RTA1" s="27"/>
      <c r="RTB1" s="27"/>
      <c r="RTC1" s="27"/>
      <c r="RTD1" s="27"/>
      <c r="RTE1" s="27"/>
      <c r="RTF1" s="27"/>
      <c r="RTG1" s="27"/>
      <c r="RTH1" s="27"/>
      <c r="RTI1" s="27"/>
      <c r="RTJ1" s="27"/>
      <c r="RTK1" s="27"/>
      <c r="RTL1" s="27"/>
      <c r="RTM1" s="27"/>
      <c r="RTN1" s="27"/>
      <c r="RTO1" s="27"/>
      <c r="RTP1" s="27"/>
      <c r="RTQ1" s="27"/>
      <c r="RTR1" s="27"/>
      <c r="RTS1" s="27"/>
      <c r="RTT1" s="27"/>
      <c r="RTU1" s="27"/>
      <c r="RTV1" s="27"/>
      <c r="RTW1" s="27"/>
      <c r="RTX1" s="27"/>
      <c r="RTY1" s="27"/>
      <c r="RTZ1" s="27"/>
      <c r="RUA1" s="27"/>
      <c r="RUB1" s="27"/>
      <c r="RUC1" s="27"/>
      <c r="RUD1" s="27"/>
      <c r="RUE1" s="27"/>
      <c r="RUF1" s="27"/>
      <c r="RUG1" s="27"/>
      <c r="RUH1" s="27"/>
      <c r="RUI1" s="27"/>
      <c r="RUJ1" s="27"/>
      <c r="RUK1" s="27"/>
      <c r="RUL1" s="27"/>
      <c r="RUM1" s="27"/>
      <c r="RUN1" s="27"/>
      <c r="RUO1" s="27"/>
      <c r="RUP1" s="27"/>
      <c r="RUQ1" s="27"/>
      <c r="RUR1" s="27"/>
      <c r="RUS1" s="27"/>
      <c r="RUT1" s="27"/>
      <c r="RUU1" s="27"/>
      <c r="RUV1" s="27"/>
      <c r="RUW1" s="27"/>
      <c r="RUX1" s="27"/>
      <c r="RUY1" s="27"/>
      <c r="RUZ1" s="27"/>
      <c r="RVA1" s="27"/>
      <c r="RVB1" s="27"/>
      <c r="RVC1" s="27"/>
      <c r="RVD1" s="27"/>
      <c r="RVE1" s="27"/>
      <c r="RVF1" s="27"/>
      <c r="RVG1" s="27"/>
      <c r="RVH1" s="27"/>
      <c r="RVI1" s="27"/>
      <c r="RVJ1" s="27"/>
      <c r="RVK1" s="27"/>
      <c r="RVL1" s="27"/>
      <c r="RVM1" s="27"/>
      <c r="RVN1" s="27"/>
      <c r="RVO1" s="27"/>
      <c r="RVP1" s="27"/>
      <c r="RVQ1" s="27"/>
      <c r="RVR1" s="27"/>
      <c r="RVS1" s="27"/>
      <c r="RVT1" s="27"/>
      <c r="RVU1" s="27"/>
      <c r="RVV1" s="27"/>
      <c r="RVW1" s="27"/>
      <c r="RVX1" s="27"/>
      <c r="RVY1" s="27"/>
      <c r="RVZ1" s="27"/>
      <c r="RWA1" s="27"/>
      <c r="RWB1" s="27"/>
      <c r="RWC1" s="27"/>
      <c r="RWD1" s="27"/>
      <c r="RWE1" s="27"/>
      <c r="RWF1" s="27"/>
      <c r="RWG1" s="27"/>
      <c r="RWH1" s="27"/>
      <c r="RWI1" s="27"/>
      <c r="RWJ1" s="27"/>
      <c r="RWK1" s="27"/>
      <c r="RWL1" s="27"/>
      <c r="RWM1" s="27"/>
      <c r="RWN1" s="27"/>
      <c r="RWO1" s="27"/>
      <c r="RWP1" s="27"/>
      <c r="RWQ1" s="27"/>
      <c r="RWR1" s="27"/>
      <c r="RWS1" s="27"/>
      <c r="RWT1" s="27"/>
      <c r="RWU1" s="27"/>
      <c r="RWV1" s="27"/>
      <c r="RWW1" s="27"/>
      <c r="RWX1" s="27"/>
      <c r="RWY1" s="27"/>
      <c r="RWZ1" s="27"/>
      <c r="RXA1" s="27"/>
      <c r="RXB1" s="27"/>
      <c r="RXC1" s="27"/>
      <c r="RXD1" s="27"/>
      <c r="RXE1" s="27"/>
      <c r="RXF1" s="27"/>
      <c r="RXG1" s="27"/>
      <c r="RXH1" s="27"/>
      <c r="RXI1" s="27"/>
      <c r="RXJ1" s="27"/>
      <c r="RXK1" s="27"/>
      <c r="RXL1" s="27"/>
      <c r="RXM1" s="27"/>
      <c r="RXN1" s="27"/>
      <c r="RXO1" s="27"/>
      <c r="RXP1" s="27"/>
      <c r="RXQ1" s="27"/>
      <c r="RXR1" s="27"/>
      <c r="RXS1" s="27"/>
      <c r="RXT1" s="27"/>
      <c r="RXU1" s="27"/>
      <c r="RXV1" s="27"/>
      <c r="RXW1" s="27"/>
      <c r="RXX1" s="27"/>
      <c r="RXY1" s="27"/>
      <c r="RXZ1" s="27"/>
      <c r="RYA1" s="27"/>
      <c r="RYB1" s="27"/>
      <c r="RYC1" s="27"/>
      <c r="RYD1" s="27"/>
      <c r="RYE1" s="27"/>
      <c r="RYF1" s="27"/>
      <c r="RYG1" s="27"/>
      <c r="RYH1" s="27"/>
      <c r="RYI1" s="27"/>
      <c r="RYJ1" s="27"/>
      <c r="RYK1" s="27"/>
      <c r="RYL1" s="27"/>
      <c r="RYM1" s="27"/>
      <c r="RYN1" s="27"/>
      <c r="RYO1" s="27"/>
      <c r="RYP1" s="27"/>
      <c r="RYQ1" s="27"/>
      <c r="RYR1" s="27"/>
      <c r="RYS1" s="27"/>
      <c r="RYT1" s="27"/>
      <c r="RYU1" s="27"/>
      <c r="RYV1" s="27"/>
      <c r="RYW1" s="27"/>
      <c r="RYX1" s="27"/>
      <c r="RYY1" s="27"/>
      <c r="RYZ1" s="27"/>
      <c r="RZA1" s="27"/>
      <c r="RZB1" s="27"/>
      <c r="RZC1" s="27"/>
      <c r="RZD1" s="27"/>
      <c r="RZE1" s="27"/>
      <c r="RZF1" s="27"/>
      <c r="RZG1" s="27"/>
      <c r="RZH1" s="27"/>
      <c r="RZI1" s="27"/>
      <c r="RZJ1" s="27"/>
      <c r="RZK1" s="27"/>
      <c r="RZL1" s="27"/>
      <c r="RZM1" s="27"/>
      <c r="RZN1" s="27"/>
      <c r="RZO1" s="27"/>
      <c r="RZP1" s="27"/>
      <c r="RZQ1" s="27"/>
      <c r="RZR1" s="27"/>
      <c r="RZS1" s="27"/>
      <c r="RZT1" s="27"/>
      <c r="RZU1" s="27"/>
      <c r="RZV1" s="27"/>
      <c r="RZW1" s="27"/>
      <c r="RZX1" s="27"/>
      <c r="RZY1" s="27"/>
      <c r="RZZ1" s="27"/>
      <c r="SAA1" s="27"/>
      <c r="SAB1" s="27"/>
      <c r="SAC1" s="27"/>
      <c r="SAD1" s="27"/>
      <c r="SAE1" s="27"/>
      <c r="SAF1" s="27"/>
      <c r="SAG1" s="27"/>
      <c r="SAH1" s="27"/>
      <c r="SAI1" s="27"/>
      <c r="SAJ1" s="27"/>
      <c r="SAK1" s="27"/>
      <c r="SAL1" s="27"/>
      <c r="SAM1" s="27"/>
      <c r="SAN1" s="27"/>
      <c r="SAO1" s="27"/>
      <c r="SAP1" s="27"/>
      <c r="SAQ1" s="27"/>
      <c r="SAR1" s="27"/>
      <c r="SAS1" s="27"/>
      <c r="SAT1" s="27"/>
      <c r="SAU1" s="27"/>
      <c r="SAV1" s="27"/>
      <c r="SAW1" s="27"/>
      <c r="SAX1" s="27"/>
      <c r="SAY1" s="27"/>
      <c r="SAZ1" s="27"/>
      <c r="SBA1" s="27"/>
      <c r="SBB1" s="27"/>
      <c r="SBC1" s="27"/>
      <c r="SBD1" s="27"/>
      <c r="SBE1" s="27"/>
      <c r="SBF1" s="27"/>
      <c r="SBG1" s="27"/>
      <c r="SBH1" s="27"/>
      <c r="SBI1" s="27"/>
      <c r="SBJ1" s="27"/>
      <c r="SBK1" s="27"/>
      <c r="SBL1" s="27"/>
      <c r="SBM1" s="27"/>
      <c r="SBN1" s="27"/>
      <c r="SBO1" s="27"/>
      <c r="SBP1" s="27"/>
      <c r="SBQ1" s="27"/>
      <c r="SBR1" s="27"/>
      <c r="SBS1" s="27"/>
      <c r="SBT1" s="27"/>
      <c r="SBU1" s="27"/>
      <c r="SBV1" s="27"/>
      <c r="SBW1" s="27"/>
      <c r="SBX1" s="27"/>
      <c r="SBY1" s="27"/>
      <c r="SBZ1" s="27"/>
      <c r="SCA1" s="27"/>
      <c r="SCB1" s="27"/>
      <c r="SCC1" s="27"/>
      <c r="SCD1" s="27"/>
      <c r="SCE1" s="27"/>
      <c r="SCF1" s="27"/>
      <c r="SCG1" s="27"/>
      <c r="SCH1" s="27"/>
      <c r="SCI1" s="27"/>
      <c r="SCJ1" s="27"/>
      <c r="SCK1" s="27"/>
      <c r="SCL1" s="27"/>
      <c r="SCM1" s="27"/>
      <c r="SCN1" s="27"/>
      <c r="SCO1" s="27"/>
      <c r="SCP1" s="27"/>
      <c r="SCQ1" s="27"/>
      <c r="SCR1" s="27"/>
      <c r="SCS1" s="27"/>
      <c r="SCT1" s="27"/>
      <c r="SCU1" s="27"/>
      <c r="SCV1" s="27"/>
      <c r="SCW1" s="27"/>
      <c r="SCX1" s="27"/>
      <c r="SCY1" s="27"/>
      <c r="SCZ1" s="27"/>
      <c r="SDA1" s="27"/>
      <c r="SDB1" s="27"/>
      <c r="SDC1" s="27"/>
      <c r="SDD1" s="27"/>
      <c r="SDE1" s="27"/>
      <c r="SDF1" s="27"/>
      <c r="SDG1" s="27"/>
      <c r="SDH1" s="27"/>
      <c r="SDI1" s="27"/>
      <c r="SDJ1" s="27"/>
      <c r="SDK1" s="27"/>
      <c r="SDL1" s="27"/>
      <c r="SDM1" s="27"/>
      <c r="SDN1" s="27"/>
      <c r="SDO1" s="27"/>
      <c r="SDP1" s="27"/>
      <c r="SDQ1" s="27"/>
      <c r="SDR1" s="27"/>
      <c r="SDS1" s="27"/>
      <c r="SDT1" s="27"/>
      <c r="SDU1" s="27"/>
      <c r="SDV1" s="27"/>
      <c r="SDW1" s="27"/>
      <c r="SDX1" s="27"/>
      <c r="SDY1" s="27"/>
      <c r="SDZ1" s="27"/>
      <c r="SEA1" s="27"/>
      <c r="SEB1" s="27"/>
      <c r="SEC1" s="27"/>
      <c r="SED1" s="27"/>
      <c r="SEE1" s="27"/>
      <c r="SEF1" s="27"/>
      <c r="SEG1" s="27"/>
      <c r="SEH1" s="27"/>
      <c r="SEI1" s="27"/>
      <c r="SEJ1" s="27"/>
      <c r="SEK1" s="27"/>
      <c r="SEL1" s="27"/>
      <c r="SEM1" s="27"/>
      <c r="SEN1" s="27"/>
      <c r="SEO1" s="27"/>
      <c r="SEP1" s="27"/>
      <c r="SEQ1" s="27"/>
      <c r="SER1" s="27"/>
      <c r="SES1" s="27"/>
      <c r="SET1" s="27"/>
      <c r="SEU1" s="27"/>
      <c r="SEV1" s="27"/>
      <c r="SEW1" s="27"/>
      <c r="SEX1" s="27"/>
      <c r="SEY1" s="27"/>
      <c r="SEZ1" s="27"/>
      <c r="SFA1" s="27"/>
      <c r="SFB1" s="27"/>
      <c r="SFC1" s="27"/>
      <c r="SFD1" s="27"/>
      <c r="SFE1" s="27"/>
      <c r="SFF1" s="27"/>
      <c r="SFG1" s="27"/>
      <c r="SFH1" s="27"/>
      <c r="SFI1" s="27"/>
      <c r="SFJ1" s="27"/>
      <c r="SFK1" s="27"/>
      <c r="SFL1" s="27"/>
      <c r="SFM1" s="27"/>
      <c r="SFN1" s="27"/>
      <c r="SFO1" s="27"/>
      <c r="SFP1" s="27"/>
      <c r="SFQ1" s="27"/>
      <c r="SFR1" s="27"/>
      <c r="SFS1" s="27"/>
      <c r="SFT1" s="27"/>
      <c r="SFU1" s="27"/>
      <c r="SFV1" s="27"/>
      <c r="SFW1" s="27"/>
      <c r="SFX1" s="27"/>
      <c r="SFY1" s="27"/>
      <c r="SFZ1" s="27"/>
      <c r="SGA1" s="27"/>
      <c r="SGB1" s="27"/>
      <c r="SGC1" s="27"/>
      <c r="SGD1" s="27"/>
      <c r="SGE1" s="27"/>
      <c r="SGF1" s="27"/>
      <c r="SGG1" s="27"/>
      <c r="SGH1" s="27"/>
      <c r="SGI1" s="27"/>
      <c r="SGJ1" s="27"/>
      <c r="SGK1" s="27"/>
      <c r="SGL1" s="27"/>
      <c r="SGM1" s="27"/>
      <c r="SGN1" s="27"/>
      <c r="SGO1" s="27"/>
      <c r="SGP1" s="27"/>
      <c r="SGQ1" s="27"/>
      <c r="SGR1" s="27"/>
      <c r="SGS1" s="27"/>
      <c r="SGT1" s="27"/>
      <c r="SGU1" s="27"/>
      <c r="SGV1" s="27"/>
      <c r="SGW1" s="27"/>
      <c r="SGX1" s="27"/>
      <c r="SGY1" s="27"/>
      <c r="SGZ1" s="27"/>
      <c r="SHA1" s="27"/>
      <c r="SHB1" s="27"/>
      <c r="SHC1" s="27"/>
      <c r="SHD1" s="27"/>
      <c r="SHE1" s="27"/>
      <c r="SHF1" s="27"/>
      <c r="SHG1" s="27"/>
      <c r="SHH1" s="27"/>
      <c r="SHI1" s="27"/>
      <c r="SHJ1" s="27"/>
      <c r="SHK1" s="27"/>
      <c r="SHL1" s="27"/>
      <c r="SHM1" s="27"/>
      <c r="SHN1" s="27"/>
      <c r="SHO1" s="27"/>
      <c r="SHP1" s="27"/>
      <c r="SHQ1" s="27"/>
      <c r="SHR1" s="27"/>
      <c r="SHS1" s="27"/>
      <c r="SHT1" s="27"/>
      <c r="SHU1" s="27"/>
      <c r="SHV1" s="27"/>
      <c r="SHW1" s="27"/>
      <c r="SHX1" s="27"/>
      <c r="SHY1" s="27"/>
      <c r="SHZ1" s="27"/>
      <c r="SIA1" s="27"/>
      <c r="SIB1" s="27"/>
      <c r="SIC1" s="27"/>
      <c r="SID1" s="27"/>
      <c r="SIE1" s="27"/>
      <c r="SIF1" s="27"/>
      <c r="SIG1" s="27"/>
      <c r="SIH1" s="27"/>
      <c r="SII1" s="27"/>
      <c r="SIJ1" s="27"/>
      <c r="SIK1" s="27"/>
      <c r="SIL1" s="27"/>
      <c r="SIM1" s="27"/>
      <c r="SIN1" s="27"/>
      <c r="SIO1" s="27"/>
      <c r="SIP1" s="27"/>
      <c r="SIQ1" s="27"/>
      <c r="SIR1" s="27"/>
      <c r="SIS1" s="27"/>
      <c r="SIT1" s="27"/>
      <c r="SIU1" s="27"/>
      <c r="SIV1" s="27"/>
      <c r="SIW1" s="27"/>
      <c r="SIX1" s="27"/>
      <c r="SIY1" s="27"/>
      <c r="SIZ1" s="27"/>
      <c r="SJA1" s="27"/>
      <c r="SJB1" s="27"/>
      <c r="SJC1" s="27"/>
      <c r="SJD1" s="27"/>
      <c r="SJE1" s="27"/>
      <c r="SJF1" s="27"/>
      <c r="SJG1" s="27"/>
      <c r="SJH1" s="27"/>
      <c r="SJI1" s="27"/>
      <c r="SJJ1" s="27"/>
      <c r="SJK1" s="27"/>
      <c r="SJL1" s="27"/>
      <c r="SJM1" s="27"/>
      <c r="SJN1" s="27"/>
      <c r="SJO1" s="27"/>
      <c r="SJP1" s="27"/>
      <c r="SJQ1" s="27"/>
      <c r="SJR1" s="27"/>
      <c r="SJS1" s="27"/>
      <c r="SJT1" s="27"/>
      <c r="SJU1" s="27"/>
      <c r="SJV1" s="27"/>
      <c r="SJW1" s="27"/>
      <c r="SJX1" s="27"/>
      <c r="SJY1" s="27"/>
      <c r="SJZ1" s="27"/>
      <c r="SKA1" s="27"/>
      <c r="SKB1" s="27"/>
      <c r="SKC1" s="27"/>
      <c r="SKD1" s="27"/>
      <c r="SKE1" s="27"/>
      <c r="SKF1" s="27"/>
      <c r="SKG1" s="27"/>
      <c r="SKH1" s="27"/>
      <c r="SKI1" s="27"/>
      <c r="SKJ1" s="27"/>
      <c r="SKK1" s="27"/>
      <c r="SKL1" s="27"/>
      <c r="SKM1" s="27"/>
      <c r="SKN1" s="27"/>
      <c r="SKO1" s="27"/>
      <c r="SKP1" s="27"/>
      <c r="SKQ1" s="27"/>
      <c r="SKR1" s="27"/>
      <c r="SKS1" s="27"/>
      <c r="SKT1" s="27"/>
      <c r="SKU1" s="27"/>
      <c r="SKV1" s="27"/>
      <c r="SKW1" s="27"/>
      <c r="SKX1" s="27"/>
      <c r="SKY1" s="27"/>
      <c r="SKZ1" s="27"/>
      <c r="SLA1" s="27"/>
      <c r="SLB1" s="27"/>
      <c r="SLC1" s="27"/>
      <c r="SLD1" s="27"/>
      <c r="SLE1" s="27"/>
      <c r="SLF1" s="27"/>
      <c r="SLG1" s="27"/>
      <c r="SLH1" s="27"/>
      <c r="SLI1" s="27"/>
      <c r="SLJ1" s="27"/>
      <c r="SLK1" s="27"/>
      <c r="SLL1" s="27"/>
      <c r="SLM1" s="27"/>
      <c r="SLN1" s="27"/>
      <c r="SLO1" s="27"/>
      <c r="SLP1" s="27"/>
      <c r="SLQ1" s="27"/>
      <c r="SLR1" s="27"/>
      <c r="SLS1" s="27"/>
      <c r="SLT1" s="27"/>
      <c r="SLU1" s="27"/>
      <c r="SLV1" s="27"/>
      <c r="SLW1" s="27"/>
      <c r="SLX1" s="27"/>
      <c r="SLY1" s="27"/>
      <c r="SLZ1" s="27"/>
      <c r="SMA1" s="27"/>
      <c r="SMB1" s="27"/>
      <c r="SMC1" s="27"/>
      <c r="SMD1" s="27"/>
      <c r="SME1" s="27"/>
      <c r="SMF1" s="27"/>
      <c r="SMG1" s="27"/>
      <c r="SMH1" s="27"/>
      <c r="SMI1" s="27"/>
      <c r="SMJ1" s="27"/>
      <c r="SMK1" s="27"/>
      <c r="SML1" s="27"/>
      <c r="SMM1" s="27"/>
      <c r="SMN1" s="27"/>
      <c r="SMO1" s="27"/>
      <c r="SMP1" s="27"/>
      <c r="SMQ1" s="27"/>
      <c r="SMR1" s="27"/>
      <c r="SMS1" s="27"/>
      <c r="SMT1" s="27"/>
      <c r="SMU1" s="27"/>
      <c r="SMV1" s="27"/>
      <c r="SMW1" s="27"/>
      <c r="SMX1" s="27"/>
      <c r="SMY1" s="27"/>
      <c r="SMZ1" s="27"/>
      <c r="SNA1" s="27"/>
      <c r="SNB1" s="27"/>
      <c r="SNC1" s="27"/>
      <c r="SND1" s="27"/>
      <c r="SNE1" s="27"/>
      <c r="SNF1" s="27"/>
      <c r="SNG1" s="27"/>
      <c r="SNH1" s="27"/>
      <c r="SNI1" s="27"/>
      <c r="SNJ1" s="27"/>
      <c r="SNK1" s="27"/>
      <c r="SNL1" s="27"/>
      <c r="SNM1" s="27"/>
      <c r="SNN1" s="27"/>
      <c r="SNO1" s="27"/>
      <c r="SNP1" s="27"/>
      <c r="SNQ1" s="27"/>
      <c r="SNR1" s="27"/>
      <c r="SNS1" s="27"/>
      <c r="SNT1" s="27"/>
      <c r="SNU1" s="27"/>
      <c r="SNV1" s="27"/>
      <c r="SNW1" s="27"/>
      <c r="SNX1" s="27"/>
      <c r="SNY1" s="27"/>
      <c r="SNZ1" s="27"/>
      <c r="SOA1" s="27"/>
      <c r="SOB1" s="27"/>
      <c r="SOC1" s="27"/>
      <c r="SOD1" s="27"/>
      <c r="SOE1" s="27"/>
      <c r="SOF1" s="27"/>
      <c r="SOG1" s="27"/>
      <c r="SOH1" s="27"/>
      <c r="SOI1" s="27"/>
      <c r="SOJ1" s="27"/>
      <c r="SOK1" s="27"/>
      <c r="SOL1" s="27"/>
      <c r="SOM1" s="27"/>
      <c r="SON1" s="27"/>
      <c r="SOO1" s="27"/>
      <c r="SOP1" s="27"/>
      <c r="SOQ1" s="27"/>
      <c r="SOR1" s="27"/>
      <c r="SOS1" s="27"/>
      <c r="SOT1" s="27"/>
      <c r="SOU1" s="27"/>
      <c r="SOV1" s="27"/>
      <c r="SOW1" s="27"/>
      <c r="SOX1" s="27"/>
      <c r="SOY1" s="27"/>
      <c r="SOZ1" s="27"/>
      <c r="SPA1" s="27"/>
      <c r="SPB1" s="27"/>
      <c r="SPC1" s="27"/>
      <c r="SPD1" s="27"/>
      <c r="SPE1" s="27"/>
      <c r="SPF1" s="27"/>
      <c r="SPG1" s="27"/>
      <c r="SPH1" s="27"/>
      <c r="SPI1" s="27"/>
      <c r="SPJ1" s="27"/>
      <c r="SPK1" s="27"/>
      <c r="SPL1" s="27"/>
      <c r="SPM1" s="27"/>
      <c r="SPN1" s="27"/>
      <c r="SPO1" s="27"/>
      <c r="SPP1" s="27"/>
      <c r="SPQ1" s="27"/>
      <c r="SPR1" s="27"/>
      <c r="SPS1" s="27"/>
      <c r="SPT1" s="27"/>
      <c r="SPU1" s="27"/>
      <c r="SPV1" s="27"/>
      <c r="SPW1" s="27"/>
      <c r="SPX1" s="27"/>
      <c r="SPY1" s="27"/>
      <c r="SPZ1" s="27"/>
      <c r="SQA1" s="27"/>
      <c r="SQB1" s="27"/>
      <c r="SQC1" s="27"/>
      <c r="SQD1" s="27"/>
      <c r="SQE1" s="27"/>
      <c r="SQF1" s="27"/>
      <c r="SQG1" s="27"/>
      <c r="SQH1" s="27"/>
      <c r="SQI1" s="27"/>
      <c r="SQJ1" s="27"/>
      <c r="SQK1" s="27"/>
      <c r="SQL1" s="27"/>
      <c r="SQM1" s="27"/>
      <c r="SQN1" s="27"/>
      <c r="SQO1" s="27"/>
      <c r="SQP1" s="27"/>
      <c r="SQQ1" s="27"/>
      <c r="SQR1" s="27"/>
      <c r="SQS1" s="27"/>
      <c r="SQT1" s="27"/>
      <c r="SQU1" s="27"/>
      <c r="SQV1" s="27"/>
      <c r="SQW1" s="27"/>
      <c r="SQX1" s="27"/>
      <c r="SQY1" s="27"/>
      <c r="SQZ1" s="27"/>
      <c r="SRA1" s="27"/>
      <c r="SRB1" s="27"/>
      <c r="SRC1" s="27"/>
      <c r="SRD1" s="27"/>
      <c r="SRE1" s="27"/>
      <c r="SRF1" s="27"/>
      <c r="SRG1" s="27"/>
      <c r="SRH1" s="27"/>
      <c r="SRI1" s="27"/>
      <c r="SRJ1" s="27"/>
      <c r="SRK1" s="27"/>
      <c r="SRL1" s="27"/>
      <c r="SRM1" s="27"/>
      <c r="SRN1" s="27"/>
      <c r="SRO1" s="27"/>
      <c r="SRP1" s="27"/>
      <c r="SRQ1" s="27"/>
      <c r="SRR1" s="27"/>
      <c r="SRS1" s="27"/>
      <c r="SRT1" s="27"/>
      <c r="SRU1" s="27"/>
      <c r="SRV1" s="27"/>
      <c r="SRW1" s="27"/>
      <c r="SRX1" s="27"/>
      <c r="SRY1" s="27"/>
      <c r="SRZ1" s="27"/>
      <c r="SSA1" s="27"/>
      <c r="SSB1" s="27"/>
      <c r="SSC1" s="27"/>
      <c r="SSD1" s="27"/>
      <c r="SSE1" s="27"/>
      <c r="SSF1" s="27"/>
      <c r="SSG1" s="27"/>
      <c r="SSH1" s="27"/>
      <c r="SSI1" s="27"/>
      <c r="SSJ1" s="27"/>
      <c r="SSK1" s="27"/>
      <c r="SSL1" s="27"/>
      <c r="SSM1" s="27"/>
      <c r="SSN1" s="27"/>
      <c r="SSO1" s="27"/>
      <c r="SSP1" s="27"/>
      <c r="SSQ1" s="27"/>
      <c r="SSR1" s="27"/>
      <c r="SSS1" s="27"/>
      <c r="SST1" s="27"/>
      <c r="SSU1" s="27"/>
      <c r="SSV1" s="27"/>
      <c r="SSW1" s="27"/>
      <c r="SSX1" s="27"/>
      <c r="SSY1" s="27"/>
      <c r="SSZ1" s="27"/>
      <c r="STA1" s="27"/>
      <c r="STB1" s="27"/>
      <c r="STC1" s="27"/>
      <c r="STD1" s="27"/>
      <c r="STE1" s="27"/>
      <c r="STF1" s="27"/>
      <c r="STG1" s="27"/>
      <c r="STH1" s="27"/>
      <c r="STI1" s="27"/>
      <c r="STJ1" s="27"/>
      <c r="STK1" s="27"/>
      <c r="STL1" s="27"/>
      <c r="STM1" s="27"/>
      <c r="STN1" s="27"/>
      <c r="STO1" s="27"/>
      <c r="STP1" s="27"/>
      <c r="STQ1" s="27"/>
      <c r="STR1" s="27"/>
      <c r="STS1" s="27"/>
      <c r="STT1" s="27"/>
      <c r="STU1" s="27"/>
      <c r="STV1" s="27"/>
      <c r="STW1" s="27"/>
      <c r="STX1" s="27"/>
      <c r="STY1" s="27"/>
      <c r="STZ1" s="27"/>
      <c r="SUA1" s="27"/>
      <c r="SUB1" s="27"/>
      <c r="SUC1" s="27"/>
      <c r="SUD1" s="27"/>
      <c r="SUE1" s="27"/>
      <c r="SUF1" s="27"/>
      <c r="SUG1" s="27"/>
      <c r="SUH1" s="27"/>
      <c r="SUI1" s="27"/>
      <c r="SUJ1" s="27"/>
      <c r="SUK1" s="27"/>
      <c r="SUL1" s="27"/>
      <c r="SUM1" s="27"/>
      <c r="SUN1" s="27"/>
      <c r="SUO1" s="27"/>
      <c r="SUP1" s="27"/>
      <c r="SUQ1" s="27"/>
      <c r="SUR1" s="27"/>
      <c r="SUS1" s="27"/>
      <c r="SUT1" s="27"/>
      <c r="SUU1" s="27"/>
      <c r="SUV1" s="27"/>
      <c r="SUW1" s="27"/>
      <c r="SUX1" s="27"/>
      <c r="SUY1" s="27"/>
      <c r="SUZ1" s="27"/>
      <c r="SVA1" s="27"/>
      <c r="SVB1" s="27"/>
      <c r="SVC1" s="27"/>
      <c r="SVD1" s="27"/>
      <c r="SVE1" s="27"/>
      <c r="SVF1" s="27"/>
      <c r="SVG1" s="27"/>
      <c r="SVH1" s="27"/>
      <c r="SVI1" s="27"/>
      <c r="SVJ1" s="27"/>
      <c r="SVK1" s="27"/>
      <c r="SVL1" s="27"/>
      <c r="SVM1" s="27"/>
      <c r="SVN1" s="27"/>
      <c r="SVO1" s="27"/>
      <c r="SVP1" s="27"/>
      <c r="SVQ1" s="27"/>
      <c r="SVR1" s="27"/>
      <c r="SVS1" s="27"/>
      <c r="SVT1" s="27"/>
      <c r="SVU1" s="27"/>
      <c r="SVV1" s="27"/>
      <c r="SVW1" s="27"/>
      <c r="SVX1" s="27"/>
      <c r="SVY1" s="27"/>
      <c r="SVZ1" s="27"/>
      <c r="SWA1" s="27"/>
      <c r="SWB1" s="27"/>
      <c r="SWC1" s="27"/>
      <c r="SWD1" s="27"/>
      <c r="SWE1" s="27"/>
      <c r="SWF1" s="27"/>
      <c r="SWG1" s="27"/>
      <c r="SWH1" s="27"/>
      <c r="SWI1" s="27"/>
      <c r="SWJ1" s="27"/>
      <c r="SWK1" s="27"/>
      <c r="SWL1" s="27"/>
      <c r="SWM1" s="27"/>
      <c r="SWN1" s="27"/>
      <c r="SWO1" s="27"/>
      <c r="SWP1" s="27"/>
      <c r="SWQ1" s="27"/>
      <c r="SWR1" s="27"/>
      <c r="SWS1" s="27"/>
      <c r="SWT1" s="27"/>
      <c r="SWU1" s="27"/>
      <c r="SWV1" s="27"/>
      <c r="SWW1" s="27"/>
      <c r="SWX1" s="27"/>
      <c r="SWY1" s="27"/>
      <c r="SWZ1" s="27"/>
      <c r="SXA1" s="27"/>
      <c r="SXB1" s="27"/>
      <c r="SXC1" s="27"/>
      <c r="SXD1" s="27"/>
      <c r="SXE1" s="27"/>
      <c r="SXF1" s="27"/>
      <c r="SXG1" s="27"/>
      <c r="SXH1" s="27"/>
      <c r="SXI1" s="27"/>
      <c r="SXJ1" s="27"/>
      <c r="SXK1" s="27"/>
      <c r="SXL1" s="27"/>
      <c r="SXM1" s="27"/>
      <c r="SXN1" s="27"/>
      <c r="SXO1" s="27"/>
      <c r="SXP1" s="27"/>
      <c r="SXQ1" s="27"/>
      <c r="SXR1" s="27"/>
      <c r="SXS1" s="27"/>
      <c r="SXT1" s="27"/>
      <c r="SXU1" s="27"/>
      <c r="SXV1" s="27"/>
      <c r="SXW1" s="27"/>
      <c r="SXX1" s="27"/>
      <c r="SXY1" s="27"/>
      <c r="SXZ1" s="27"/>
      <c r="SYA1" s="27"/>
      <c r="SYB1" s="27"/>
      <c r="SYC1" s="27"/>
      <c r="SYD1" s="27"/>
      <c r="SYE1" s="27"/>
      <c r="SYF1" s="27"/>
      <c r="SYG1" s="27"/>
      <c r="SYH1" s="27"/>
      <c r="SYI1" s="27"/>
      <c r="SYJ1" s="27"/>
      <c r="SYK1" s="27"/>
      <c r="SYL1" s="27"/>
      <c r="SYM1" s="27"/>
      <c r="SYN1" s="27"/>
      <c r="SYO1" s="27"/>
      <c r="SYP1" s="27"/>
      <c r="SYQ1" s="27"/>
      <c r="SYR1" s="27"/>
      <c r="SYS1" s="27"/>
      <c r="SYT1" s="27"/>
      <c r="SYU1" s="27"/>
      <c r="SYV1" s="27"/>
      <c r="SYW1" s="27"/>
      <c r="SYX1" s="27"/>
      <c r="SYY1" s="27"/>
      <c r="SYZ1" s="27"/>
      <c r="SZA1" s="27"/>
      <c r="SZB1" s="27"/>
      <c r="SZC1" s="27"/>
      <c r="SZD1" s="27"/>
      <c r="SZE1" s="27"/>
      <c r="SZF1" s="27"/>
      <c r="SZG1" s="27"/>
      <c r="SZH1" s="27"/>
      <c r="SZI1" s="27"/>
      <c r="SZJ1" s="27"/>
      <c r="SZK1" s="27"/>
      <c r="SZL1" s="27"/>
      <c r="SZM1" s="27"/>
      <c r="SZN1" s="27"/>
      <c r="SZO1" s="27"/>
      <c r="SZP1" s="27"/>
      <c r="SZQ1" s="27"/>
      <c r="SZR1" s="27"/>
      <c r="SZS1" s="27"/>
      <c r="SZT1" s="27"/>
      <c r="SZU1" s="27"/>
      <c r="SZV1" s="27"/>
      <c r="SZW1" s="27"/>
      <c r="SZX1" s="27"/>
      <c r="SZY1" s="27"/>
      <c r="SZZ1" s="27"/>
      <c r="TAA1" s="27"/>
      <c r="TAB1" s="27"/>
      <c r="TAC1" s="27"/>
      <c r="TAD1" s="27"/>
      <c r="TAE1" s="27"/>
      <c r="TAF1" s="27"/>
      <c r="TAG1" s="27"/>
      <c r="TAH1" s="27"/>
      <c r="TAI1" s="27"/>
      <c r="TAJ1" s="27"/>
      <c r="TAK1" s="27"/>
      <c r="TAL1" s="27"/>
      <c r="TAM1" s="27"/>
      <c r="TAN1" s="27"/>
      <c r="TAO1" s="27"/>
      <c r="TAP1" s="27"/>
      <c r="TAQ1" s="27"/>
      <c r="TAR1" s="27"/>
      <c r="TAS1" s="27"/>
      <c r="TAT1" s="27"/>
      <c r="TAU1" s="27"/>
      <c r="TAV1" s="27"/>
      <c r="TAW1" s="27"/>
      <c r="TAX1" s="27"/>
      <c r="TAY1" s="27"/>
      <c r="TAZ1" s="27"/>
      <c r="TBA1" s="27"/>
      <c r="TBB1" s="27"/>
      <c r="TBC1" s="27"/>
      <c r="TBD1" s="27"/>
      <c r="TBE1" s="27"/>
      <c r="TBF1" s="27"/>
      <c r="TBG1" s="27"/>
      <c r="TBH1" s="27"/>
      <c r="TBI1" s="27"/>
      <c r="TBJ1" s="27"/>
      <c r="TBK1" s="27"/>
      <c r="TBL1" s="27"/>
      <c r="TBM1" s="27"/>
      <c r="TBN1" s="27"/>
      <c r="TBO1" s="27"/>
      <c r="TBP1" s="27"/>
      <c r="TBQ1" s="27"/>
      <c r="TBR1" s="27"/>
      <c r="TBS1" s="27"/>
      <c r="TBT1" s="27"/>
      <c r="TBU1" s="27"/>
      <c r="TBV1" s="27"/>
      <c r="TBW1" s="27"/>
      <c r="TBX1" s="27"/>
      <c r="TBY1" s="27"/>
      <c r="TBZ1" s="27"/>
      <c r="TCA1" s="27"/>
      <c r="TCB1" s="27"/>
      <c r="TCC1" s="27"/>
      <c r="TCD1" s="27"/>
      <c r="TCE1" s="27"/>
      <c r="TCF1" s="27"/>
      <c r="TCG1" s="27"/>
      <c r="TCH1" s="27"/>
      <c r="TCI1" s="27"/>
      <c r="TCJ1" s="27"/>
      <c r="TCK1" s="27"/>
      <c r="TCL1" s="27"/>
      <c r="TCM1" s="27"/>
      <c r="TCN1" s="27"/>
      <c r="TCO1" s="27"/>
      <c r="TCP1" s="27"/>
      <c r="TCQ1" s="27"/>
      <c r="TCR1" s="27"/>
      <c r="TCS1" s="27"/>
      <c r="TCT1" s="27"/>
      <c r="TCU1" s="27"/>
      <c r="TCV1" s="27"/>
      <c r="TCW1" s="27"/>
      <c r="TCX1" s="27"/>
      <c r="TCY1" s="27"/>
      <c r="TCZ1" s="27"/>
      <c r="TDA1" s="27"/>
      <c r="TDB1" s="27"/>
      <c r="TDC1" s="27"/>
      <c r="TDD1" s="27"/>
      <c r="TDE1" s="27"/>
      <c r="TDF1" s="27"/>
      <c r="TDG1" s="27"/>
      <c r="TDH1" s="27"/>
      <c r="TDI1" s="27"/>
      <c r="TDJ1" s="27"/>
      <c r="TDK1" s="27"/>
      <c r="TDL1" s="27"/>
      <c r="TDM1" s="27"/>
      <c r="TDN1" s="27"/>
      <c r="TDO1" s="27"/>
      <c r="TDP1" s="27"/>
      <c r="TDQ1" s="27"/>
      <c r="TDR1" s="27"/>
      <c r="TDS1" s="27"/>
      <c r="TDT1" s="27"/>
      <c r="TDU1" s="27"/>
      <c r="TDV1" s="27"/>
      <c r="TDW1" s="27"/>
      <c r="TDX1" s="27"/>
      <c r="TDY1" s="27"/>
      <c r="TDZ1" s="27"/>
      <c r="TEA1" s="27"/>
      <c r="TEB1" s="27"/>
      <c r="TEC1" s="27"/>
      <c r="TED1" s="27"/>
      <c r="TEE1" s="27"/>
      <c r="TEF1" s="27"/>
      <c r="TEG1" s="27"/>
      <c r="TEH1" s="27"/>
      <c r="TEI1" s="27"/>
      <c r="TEJ1" s="27"/>
      <c r="TEK1" s="27"/>
      <c r="TEL1" s="27"/>
      <c r="TEM1" s="27"/>
      <c r="TEN1" s="27"/>
      <c r="TEO1" s="27"/>
      <c r="TEP1" s="27"/>
      <c r="TEQ1" s="27"/>
      <c r="TER1" s="27"/>
      <c r="TES1" s="27"/>
      <c r="TET1" s="27"/>
      <c r="TEU1" s="27"/>
      <c r="TEV1" s="27"/>
      <c r="TEW1" s="27"/>
      <c r="TEX1" s="27"/>
      <c r="TEY1" s="27"/>
      <c r="TEZ1" s="27"/>
      <c r="TFA1" s="27"/>
      <c r="TFB1" s="27"/>
      <c r="TFC1" s="27"/>
      <c r="TFD1" s="27"/>
      <c r="TFE1" s="27"/>
      <c r="TFF1" s="27"/>
      <c r="TFG1" s="27"/>
      <c r="TFH1" s="27"/>
      <c r="TFI1" s="27"/>
      <c r="TFJ1" s="27"/>
      <c r="TFK1" s="27"/>
      <c r="TFL1" s="27"/>
      <c r="TFM1" s="27"/>
      <c r="TFN1" s="27"/>
      <c r="TFO1" s="27"/>
      <c r="TFP1" s="27"/>
      <c r="TFQ1" s="27"/>
      <c r="TFR1" s="27"/>
      <c r="TFS1" s="27"/>
      <c r="TFT1" s="27"/>
      <c r="TFU1" s="27"/>
      <c r="TFV1" s="27"/>
      <c r="TFW1" s="27"/>
      <c r="TFX1" s="27"/>
      <c r="TFY1" s="27"/>
      <c r="TFZ1" s="27"/>
      <c r="TGA1" s="27"/>
      <c r="TGB1" s="27"/>
      <c r="TGC1" s="27"/>
      <c r="TGD1" s="27"/>
      <c r="TGE1" s="27"/>
      <c r="TGF1" s="27"/>
      <c r="TGG1" s="27"/>
      <c r="TGH1" s="27"/>
      <c r="TGI1" s="27"/>
      <c r="TGJ1" s="27"/>
      <c r="TGK1" s="27"/>
      <c r="TGL1" s="27"/>
      <c r="TGM1" s="27"/>
      <c r="TGN1" s="27"/>
      <c r="TGO1" s="27"/>
      <c r="TGP1" s="27"/>
      <c r="TGQ1" s="27"/>
      <c r="TGR1" s="27"/>
      <c r="TGS1" s="27"/>
      <c r="TGT1" s="27"/>
      <c r="TGU1" s="27"/>
      <c r="TGV1" s="27"/>
      <c r="TGW1" s="27"/>
      <c r="TGX1" s="27"/>
      <c r="TGY1" s="27"/>
      <c r="TGZ1" s="27"/>
      <c r="THA1" s="27"/>
      <c r="THB1" s="27"/>
      <c r="THC1" s="27"/>
      <c r="THD1" s="27"/>
      <c r="THE1" s="27"/>
      <c r="THF1" s="27"/>
      <c r="THG1" s="27"/>
      <c r="THH1" s="27"/>
      <c r="THI1" s="27"/>
      <c r="THJ1" s="27"/>
      <c r="THK1" s="27"/>
      <c r="THL1" s="27"/>
      <c r="THM1" s="27"/>
      <c r="THN1" s="27"/>
      <c r="THO1" s="27"/>
      <c r="THP1" s="27"/>
      <c r="THQ1" s="27"/>
      <c r="THR1" s="27"/>
      <c r="THS1" s="27"/>
      <c r="THT1" s="27"/>
      <c r="THU1" s="27"/>
      <c r="THV1" s="27"/>
      <c r="THW1" s="27"/>
      <c r="THX1" s="27"/>
      <c r="THY1" s="27"/>
      <c r="THZ1" s="27"/>
      <c r="TIA1" s="27"/>
      <c r="TIB1" s="27"/>
      <c r="TIC1" s="27"/>
      <c r="TID1" s="27"/>
      <c r="TIE1" s="27"/>
      <c r="TIF1" s="27"/>
      <c r="TIG1" s="27"/>
      <c r="TIH1" s="27"/>
      <c r="TII1" s="27"/>
      <c r="TIJ1" s="27"/>
      <c r="TIK1" s="27"/>
      <c r="TIL1" s="27"/>
      <c r="TIM1" s="27"/>
      <c r="TIN1" s="27"/>
      <c r="TIO1" s="27"/>
      <c r="TIP1" s="27"/>
      <c r="TIQ1" s="27"/>
      <c r="TIR1" s="27"/>
      <c r="TIS1" s="27"/>
      <c r="TIT1" s="27"/>
      <c r="TIU1" s="27"/>
      <c r="TIV1" s="27"/>
      <c r="TIW1" s="27"/>
      <c r="TIX1" s="27"/>
      <c r="TIY1" s="27"/>
      <c r="TIZ1" s="27"/>
      <c r="TJA1" s="27"/>
      <c r="TJB1" s="27"/>
      <c r="TJC1" s="27"/>
      <c r="TJD1" s="27"/>
      <c r="TJE1" s="27"/>
      <c r="TJF1" s="27"/>
      <c r="TJG1" s="27"/>
      <c r="TJH1" s="27"/>
      <c r="TJI1" s="27"/>
      <c r="TJJ1" s="27"/>
      <c r="TJK1" s="27"/>
      <c r="TJL1" s="27"/>
      <c r="TJM1" s="27"/>
      <c r="TJN1" s="27"/>
      <c r="TJO1" s="27"/>
      <c r="TJP1" s="27"/>
      <c r="TJQ1" s="27"/>
      <c r="TJR1" s="27"/>
      <c r="TJS1" s="27"/>
      <c r="TJT1" s="27"/>
      <c r="TJU1" s="27"/>
      <c r="TJV1" s="27"/>
      <c r="TJW1" s="27"/>
      <c r="TJX1" s="27"/>
      <c r="TJY1" s="27"/>
      <c r="TJZ1" s="27"/>
      <c r="TKA1" s="27"/>
      <c r="TKB1" s="27"/>
      <c r="TKC1" s="27"/>
      <c r="TKD1" s="27"/>
      <c r="TKE1" s="27"/>
      <c r="TKF1" s="27"/>
      <c r="TKG1" s="27"/>
      <c r="TKH1" s="27"/>
      <c r="TKI1" s="27"/>
      <c r="TKJ1" s="27"/>
      <c r="TKK1" s="27"/>
      <c r="TKL1" s="27"/>
      <c r="TKM1" s="27"/>
      <c r="TKN1" s="27"/>
      <c r="TKO1" s="27"/>
      <c r="TKP1" s="27"/>
      <c r="TKQ1" s="27"/>
      <c r="TKR1" s="27"/>
      <c r="TKS1" s="27"/>
      <c r="TKT1" s="27"/>
      <c r="TKU1" s="27"/>
      <c r="TKV1" s="27"/>
      <c r="TKW1" s="27"/>
      <c r="TKX1" s="27"/>
      <c r="TKY1" s="27"/>
      <c r="TKZ1" s="27"/>
      <c r="TLA1" s="27"/>
      <c r="TLB1" s="27"/>
      <c r="TLC1" s="27"/>
      <c r="TLD1" s="27"/>
      <c r="TLE1" s="27"/>
      <c r="TLF1" s="27"/>
      <c r="TLG1" s="27"/>
      <c r="TLH1" s="27"/>
      <c r="TLI1" s="27"/>
      <c r="TLJ1" s="27"/>
      <c r="TLK1" s="27"/>
      <c r="TLL1" s="27"/>
      <c r="TLM1" s="27"/>
      <c r="TLN1" s="27"/>
      <c r="TLO1" s="27"/>
      <c r="TLP1" s="27"/>
      <c r="TLQ1" s="27"/>
      <c r="TLR1" s="27"/>
      <c r="TLS1" s="27"/>
      <c r="TLT1" s="27"/>
      <c r="TLU1" s="27"/>
      <c r="TLV1" s="27"/>
      <c r="TLW1" s="27"/>
      <c r="TLX1" s="27"/>
      <c r="TLY1" s="27"/>
      <c r="TLZ1" s="27"/>
      <c r="TMA1" s="27"/>
      <c r="TMB1" s="27"/>
      <c r="TMC1" s="27"/>
      <c r="TMD1" s="27"/>
      <c r="TME1" s="27"/>
      <c r="TMF1" s="27"/>
      <c r="TMG1" s="27"/>
      <c r="TMH1" s="27"/>
      <c r="TMI1" s="27"/>
      <c r="TMJ1" s="27"/>
      <c r="TMK1" s="27"/>
      <c r="TML1" s="27"/>
      <c r="TMM1" s="27"/>
      <c r="TMN1" s="27"/>
      <c r="TMO1" s="27"/>
      <c r="TMP1" s="27"/>
      <c r="TMQ1" s="27"/>
      <c r="TMR1" s="27"/>
      <c r="TMS1" s="27"/>
      <c r="TMT1" s="27"/>
      <c r="TMU1" s="27"/>
      <c r="TMV1" s="27"/>
      <c r="TMW1" s="27"/>
      <c r="TMX1" s="27"/>
      <c r="TMY1" s="27"/>
      <c r="TMZ1" s="27"/>
      <c r="TNA1" s="27"/>
      <c r="TNB1" s="27"/>
      <c r="TNC1" s="27"/>
      <c r="TND1" s="27"/>
      <c r="TNE1" s="27"/>
      <c r="TNF1" s="27"/>
      <c r="TNG1" s="27"/>
      <c r="TNH1" s="27"/>
      <c r="TNI1" s="27"/>
      <c r="TNJ1" s="27"/>
      <c r="TNK1" s="27"/>
      <c r="TNL1" s="27"/>
      <c r="TNM1" s="27"/>
      <c r="TNN1" s="27"/>
      <c r="TNO1" s="27"/>
      <c r="TNP1" s="27"/>
      <c r="TNQ1" s="27"/>
      <c r="TNR1" s="27"/>
      <c r="TNS1" s="27"/>
      <c r="TNT1" s="27"/>
      <c r="TNU1" s="27"/>
      <c r="TNV1" s="27"/>
      <c r="TNW1" s="27"/>
      <c r="TNX1" s="27"/>
      <c r="TNY1" s="27"/>
      <c r="TNZ1" s="27"/>
      <c r="TOA1" s="27"/>
      <c r="TOB1" s="27"/>
      <c r="TOC1" s="27"/>
      <c r="TOD1" s="27"/>
      <c r="TOE1" s="27"/>
      <c r="TOF1" s="27"/>
      <c r="TOG1" s="27"/>
      <c r="TOH1" s="27"/>
      <c r="TOI1" s="27"/>
      <c r="TOJ1" s="27"/>
      <c r="TOK1" s="27"/>
      <c r="TOL1" s="27"/>
      <c r="TOM1" s="27"/>
      <c r="TON1" s="27"/>
      <c r="TOO1" s="27"/>
      <c r="TOP1" s="27"/>
      <c r="TOQ1" s="27"/>
      <c r="TOR1" s="27"/>
      <c r="TOS1" s="27"/>
      <c r="TOT1" s="27"/>
      <c r="TOU1" s="27"/>
      <c r="TOV1" s="27"/>
      <c r="TOW1" s="27"/>
      <c r="TOX1" s="27"/>
      <c r="TOY1" s="27"/>
      <c r="TOZ1" s="27"/>
      <c r="TPA1" s="27"/>
      <c r="TPB1" s="27"/>
      <c r="TPC1" s="27"/>
      <c r="TPD1" s="27"/>
      <c r="TPE1" s="27"/>
      <c r="TPF1" s="27"/>
      <c r="TPG1" s="27"/>
      <c r="TPH1" s="27"/>
      <c r="TPI1" s="27"/>
      <c r="TPJ1" s="27"/>
      <c r="TPK1" s="27"/>
      <c r="TPL1" s="27"/>
      <c r="TPM1" s="27"/>
      <c r="TPN1" s="27"/>
      <c r="TPO1" s="27"/>
      <c r="TPP1" s="27"/>
      <c r="TPQ1" s="27"/>
      <c r="TPR1" s="27"/>
      <c r="TPS1" s="27"/>
      <c r="TPT1" s="27"/>
      <c r="TPU1" s="27"/>
      <c r="TPV1" s="27"/>
      <c r="TPW1" s="27"/>
      <c r="TPX1" s="27"/>
      <c r="TPY1" s="27"/>
      <c r="TPZ1" s="27"/>
      <c r="TQA1" s="27"/>
      <c r="TQB1" s="27"/>
      <c r="TQC1" s="27"/>
      <c r="TQD1" s="27"/>
      <c r="TQE1" s="27"/>
      <c r="TQF1" s="27"/>
      <c r="TQG1" s="27"/>
      <c r="TQH1" s="27"/>
      <c r="TQI1" s="27"/>
      <c r="TQJ1" s="27"/>
      <c r="TQK1" s="27"/>
      <c r="TQL1" s="27"/>
      <c r="TQM1" s="27"/>
      <c r="TQN1" s="27"/>
      <c r="TQO1" s="27"/>
      <c r="TQP1" s="27"/>
      <c r="TQQ1" s="27"/>
      <c r="TQR1" s="27"/>
      <c r="TQS1" s="27"/>
      <c r="TQT1" s="27"/>
      <c r="TQU1" s="27"/>
      <c r="TQV1" s="27"/>
      <c r="TQW1" s="27"/>
      <c r="TQX1" s="27"/>
      <c r="TQY1" s="27"/>
      <c r="TQZ1" s="27"/>
      <c r="TRA1" s="27"/>
      <c r="TRB1" s="27"/>
      <c r="TRC1" s="27"/>
      <c r="TRD1" s="27"/>
      <c r="TRE1" s="27"/>
      <c r="TRF1" s="27"/>
      <c r="TRG1" s="27"/>
      <c r="TRH1" s="27"/>
      <c r="TRI1" s="27"/>
      <c r="TRJ1" s="27"/>
      <c r="TRK1" s="27"/>
      <c r="TRL1" s="27"/>
      <c r="TRM1" s="27"/>
      <c r="TRN1" s="27"/>
      <c r="TRO1" s="27"/>
      <c r="TRP1" s="27"/>
      <c r="TRQ1" s="27"/>
      <c r="TRR1" s="27"/>
      <c r="TRS1" s="27"/>
      <c r="TRT1" s="27"/>
      <c r="TRU1" s="27"/>
      <c r="TRV1" s="27"/>
      <c r="TRW1" s="27"/>
      <c r="TRX1" s="27"/>
      <c r="TRY1" s="27"/>
      <c r="TRZ1" s="27"/>
      <c r="TSA1" s="27"/>
      <c r="TSB1" s="27"/>
      <c r="TSC1" s="27"/>
      <c r="TSD1" s="27"/>
      <c r="TSE1" s="27"/>
      <c r="TSF1" s="27"/>
      <c r="TSG1" s="27"/>
      <c r="TSH1" s="27"/>
      <c r="TSI1" s="27"/>
      <c r="TSJ1" s="27"/>
      <c r="TSK1" s="27"/>
      <c r="TSL1" s="27"/>
      <c r="TSM1" s="27"/>
      <c r="TSN1" s="27"/>
      <c r="TSO1" s="27"/>
      <c r="TSP1" s="27"/>
      <c r="TSQ1" s="27"/>
      <c r="TSR1" s="27"/>
      <c r="TSS1" s="27"/>
      <c r="TST1" s="27"/>
      <c r="TSU1" s="27"/>
      <c r="TSV1" s="27"/>
      <c r="TSW1" s="27"/>
      <c r="TSX1" s="27"/>
      <c r="TSY1" s="27"/>
      <c r="TSZ1" s="27"/>
      <c r="TTA1" s="27"/>
      <c r="TTB1" s="27"/>
      <c r="TTC1" s="27"/>
      <c r="TTD1" s="27"/>
      <c r="TTE1" s="27"/>
      <c r="TTF1" s="27"/>
      <c r="TTG1" s="27"/>
      <c r="TTH1" s="27"/>
      <c r="TTI1" s="27"/>
      <c r="TTJ1" s="27"/>
      <c r="TTK1" s="27"/>
      <c r="TTL1" s="27"/>
      <c r="TTM1" s="27"/>
      <c r="TTN1" s="27"/>
      <c r="TTO1" s="27"/>
      <c r="TTP1" s="27"/>
      <c r="TTQ1" s="27"/>
      <c r="TTR1" s="27"/>
      <c r="TTS1" s="27"/>
      <c r="TTT1" s="27"/>
      <c r="TTU1" s="27"/>
      <c r="TTV1" s="27"/>
      <c r="TTW1" s="27"/>
      <c r="TTX1" s="27"/>
      <c r="TTY1" s="27"/>
      <c r="TTZ1" s="27"/>
      <c r="TUA1" s="27"/>
      <c r="TUB1" s="27"/>
      <c r="TUC1" s="27"/>
      <c r="TUD1" s="27"/>
      <c r="TUE1" s="27"/>
      <c r="TUF1" s="27"/>
      <c r="TUG1" s="27"/>
      <c r="TUH1" s="27"/>
      <c r="TUI1" s="27"/>
      <c r="TUJ1" s="27"/>
      <c r="TUK1" s="27"/>
      <c r="TUL1" s="27"/>
      <c r="TUM1" s="27"/>
      <c r="TUN1" s="27"/>
      <c r="TUO1" s="27"/>
      <c r="TUP1" s="27"/>
      <c r="TUQ1" s="27"/>
      <c r="TUR1" s="27"/>
      <c r="TUS1" s="27"/>
      <c r="TUT1" s="27"/>
      <c r="TUU1" s="27"/>
      <c r="TUV1" s="27"/>
      <c r="TUW1" s="27"/>
      <c r="TUX1" s="27"/>
      <c r="TUY1" s="27"/>
      <c r="TUZ1" s="27"/>
      <c r="TVA1" s="27"/>
      <c r="TVB1" s="27"/>
      <c r="TVC1" s="27"/>
      <c r="TVD1" s="27"/>
      <c r="TVE1" s="27"/>
      <c r="TVF1" s="27"/>
      <c r="TVG1" s="27"/>
      <c r="TVH1" s="27"/>
      <c r="TVI1" s="27"/>
      <c r="TVJ1" s="27"/>
      <c r="TVK1" s="27"/>
      <c r="TVL1" s="27"/>
      <c r="TVM1" s="27"/>
      <c r="TVN1" s="27"/>
      <c r="TVO1" s="27"/>
      <c r="TVP1" s="27"/>
      <c r="TVQ1" s="27"/>
      <c r="TVR1" s="27"/>
      <c r="TVS1" s="27"/>
      <c r="TVT1" s="27"/>
      <c r="TVU1" s="27"/>
      <c r="TVV1" s="27"/>
      <c r="TVW1" s="27"/>
      <c r="TVX1" s="27"/>
      <c r="TVY1" s="27"/>
      <c r="TVZ1" s="27"/>
      <c r="TWA1" s="27"/>
      <c r="TWB1" s="27"/>
      <c r="TWC1" s="27"/>
      <c r="TWD1" s="27"/>
      <c r="TWE1" s="27"/>
      <c r="TWF1" s="27"/>
      <c r="TWG1" s="27"/>
      <c r="TWH1" s="27"/>
      <c r="TWI1" s="27"/>
      <c r="TWJ1" s="27"/>
      <c r="TWK1" s="27"/>
      <c r="TWL1" s="27"/>
      <c r="TWM1" s="27"/>
      <c r="TWN1" s="27"/>
      <c r="TWO1" s="27"/>
      <c r="TWP1" s="27"/>
      <c r="TWQ1" s="27"/>
      <c r="TWR1" s="27"/>
      <c r="TWS1" s="27"/>
      <c r="TWT1" s="27"/>
      <c r="TWU1" s="27"/>
      <c r="TWV1" s="27"/>
      <c r="TWW1" s="27"/>
      <c r="TWX1" s="27"/>
      <c r="TWY1" s="27"/>
      <c r="TWZ1" s="27"/>
      <c r="TXA1" s="27"/>
      <c r="TXB1" s="27"/>
      <c r="TXC1" s="27"/>
      <c r="TXD1" s="27"/>
      <c r="TXE1" s="27"/>
      <c r="TXF1" s="27"/>
      <c r="TXG1" s="27"/>
      <c r="TXH1" s="27"/>
      <c r="TXI1" s="27"/>
      <c r="TXJ1" s="27"/>
      <c r="TXK1" s="27"/>
      <c r="TXL1" s="27"/>
      <c r="TXM1" s="27"/>
      <c r="TXN1" s="27"/>
      <c r="TXO1" s="27"/>
      <c r="TXP1" s="27"/>
      <c r="TXQ1" s="27"/>
      <c r="TXR1" s="27"/>
      <c r="TXS1" s="27"/>
      <c r="TXT1" s="27"/>
      <c r="TXU1" s="27"/>
      <c r="TXV1" s="27"/>
      <c r="TXW1" s="27"/>
      <c r="TXX1" s="27"/>
      <c r="TXY1" s="27"/>
      <c r="TXZ1" s="27"/>
      <c r="TYA1" s="27"/>
      <c r="TYB1" s="27"/>
      <c r="TYC1" s="27"/>
      <c r="TYD1" s="27"/>
      <c r="TYE1" s="27"/>
      <c r="TYF1" s="27"/>
      <c r="TYG1" s="27"/>
      <c r="TYH1" s="27"/>
      <c r="TYI1" s="27"/>
      <c r="TYJ1" s="27"/>
      <c r="TYK1" s="27"/>
      <c r="TYL1" s="27"/>
      <c r="TYM1" s="27"/>
      <c r="TYN1" s="27"/>
      <c r="TYO1" s="27"/>
      <c r="TYP1" s="27"/>
      <c r="TYQ1" s="27"/>
      <c r="TYR1" s="27"/>
      <c r="TYS1" s="27"/>
      <c r="TYT1" s="27"/>
      <c r="TYU1" s="27"/>
      <c r="TYV1" s="27"/>
      <c r="TYW1" s="27"/>
      <c r="TYX1" s="27"/>
      <c r="TYY1" s="27"/>
      <c r="TYZ1" s="27"/>
      <c r="TZA1" s="27"/>
      <c r="TZB1" s="27"/>
      <c r="TZC1" s="27"/>
      <c r="TZD1" s="27"/>
      <c r="TZE1" s="27"/>
      <c r="TZF1" s="27"/>
      <c r="TZG1" s="27"/>
      <c r="TZH1" s="27"/>
      <c r="TZI1" s="27"/>
      <c r="TZJ1" s="27"/>
      <c r="TZK1" s="27"/>
      <c r="TZL1" s="27"/>
      <c r="TZM1" s="27"/>
      <c r="TZN1" s="27"/>
      <c r="TZO1" s="27"/>
      <c r="TZP1" s="27"/>
      <c r="TZQ1" s="27"/>
      <c r="TZR1" s="27"/>
      <c r="TZS1" s="27"/>
      <c r="TZT1" s="27"/>
      <c r="TZU1" s="27"/>
      <c r="TZV1" s="27"/>
      <c r="TZW1" s="27"/>
      <c r="TZX1" s="27"/>
      <c r="TZY1" s="27"/>
      <c r="TZZ1" s="27"/>
      <c r="UAA1" s="27"/>
      <c r="UAB1" s="27"/>
      <c r="UAC1" s="27"/>
      <c r="UAD1" s="27"/>
      <c r="UAE1" s="27"/>
      <c r="UAF1" s="27"/>
      <c r="UAG1" s="27"/>
      <c r="UAH1" s="27"/>
      <c r="UAI1" s="27"/>
      <c r="UAJ1" s="27"/>
      <c r="UAK1" s="27"/>
      <c r="UAL1" s="27"/>
      <c r="UAM1" s="27"/>
      <c r="UAN1" s="27"/>
      <c r="UAO1" s="27"/>
      <c r="UAP1" s="27"/>
      <c r="UAQ1" s="27"/>
      <c r="UAR1" s="27"/>
      <c r="UAS1" s="27"/>
      <c r="UAT1" s="27"/>
      <c r="UAU1" s="27"/>
      <c r="UAV1" s="27"/>
      <c r="UAW1" s="27"/>
      <c r="UAX1" s="27"/>
      <c r="UAY1" s="27"/>
      <c r="UAZ1" s="27"/>
      <c r="UBA1" s="27"/>
      <c r="UBB1" s="27"/>
      <c r="UBC1" s="27"/>
      <c r="UBD1" s="27"/>
      <c r="UBE1" s="27"/>
      <c r="UBF1" s="27"/>
      <c r="UBG1" s="27"/>
      <c r="UBH1" s="27"/>
      <c r="UBI1" s="27"/>
      <c r="UBJ1" s="27"/>
      <c r="UBK1" s="27"/>
      <c r="UBL1" s="27"/>
      <c r="UBM1" s="27"/>
      <c r="UBN1" s="27"/>
      <c r="UBO1" s="27"/>
      <c r="UBP1" s="27"/>
      <c r="UBQ1" s="27"/>
      <c r="UBR1" s="27"/>
      <c r="UBS1" s="27"/>
      <c r="UBT1" s="27"/>
      <c r="UBU1" s="27"/>
      <c r="UBV1" s="27"/>
      <c r="UBW1" s="27"/>
      <c r="UBX1" s="27"/>
      <c r="UBY1" s="27"/>
      <c r="UBZ1" s="27"/>
      <c r="UCA1" s="27"/>
      <c r="UCB1" s="27"/>
      <c r="UCC1" s="27"/>
      <c r="UCD1" s="27"/>
      <c r="UCE1" s="27"/>
      <c r="UCF1" s="27"/>
      <c r="UCG1" s="27"/>
      <c r="UCH1" s="27"/>
      <c r="UCI1" s="27"/>
      <c r="UCJ1" s="27"/>
      <c r="UCK1" s="27"/>
      <c r="UCL1" s="27"/>
      <c r="UCM1" s="27"/>
      <c r="UCN1" s="27"/>
      <c r="UCO1" s="27"/>
      <c r="UCP1" s="27"/>
      <c r="UCQ1" s="27"/>
      <c r="UCR1" s="27"/>
      <c r="UCS1" s="27"/>
      <c r="UCT1" s="27"/>
      <c r="UCU1" s="27"/>
      <c r="UCV1" s="27"/>
      <c r="UCW1" s="27"/>
      <c r="UCX1" s="27"/>
      <c r="UCY1" s="27"/>
      <c r="UCZ1" s="27"/>
      <c r="UDA1" s="27"/>
      <c r="UDB1" s="27"/>
      <c r="UDC1" s="27"/>
      <c r="UDD1" s="27"/>
      <c r="UDE1" s="27"/>
      <c r="UDF1" s="27"/>
      <c r="UDG1" s="27"/>
      <c r="UDH1" s="27"/>
      <c r="UDI1" s="27"/>
      <c r="UDJ1" s="27"/>
      <c r="UDK1" s="27"/>
      <c r="UDL1" s="27"/>
      <c r="UDM1" s="27"/>
      <c r="UDN1" s="27"/>
      <c r="UDO1" s="27"/>
      <c r="UDP1" s="27"/>
      <c r="UDQ1" s="27"/>
      <c r="UDR1" s="27"/>
      <c r="UDS1" s="27"/>
      <c r="UDT1" s="27"/>
      <c r="UDU1" s="27"/>
      <c r="UDV1" s="27"/>
      <c r="UDW1" s="27"/>
      <c r="UDX1" s="27"/>
      <c r="UDY1" s="27"/>
      <c r="UDZ1" s="27"/>
      <c r="UEA1" s="27"/>
      <c r="UEB1" s="27"/>
      <c r="UEC1" s="27"/>
      <c r="UED1" s="27"/>
      <c r="UEE1" s="27"/>
      <c r="UEF1" s="27"/>
      <c r="UEG1" s="27"/>
      <c r="UEH1" s="27"/>
      <c r="UEI1" s="27"/>
      <c r="UEJ1" s="27"/>
      <c r="UEK1" s="27"/>
      <c r="UEL1" s="27"/>
      <c r="UEM1" s="27"/>
      <c r="UEN1" s="27"/>
      <c r="UEO1" s="27"/>
      <c r="UEP1" s="27"/>
      <c r="UEQ1" s="27"/>
      <c r="UER1" s="27"/>
      <c r="UES1" s="27"/>
      <c r="UET1" s="27"/>
      <c r="UEU1" s="27"/>
      <c r="UEV1" s="27"/>
      <c r="UEW1" s="27"/>
      <c r="UEX1" s="27"/>
      <c r="UEY1" s="27"/>
      <c r="UEZ1" s="27"/>
      <c r="UFA1" s="27"/>
      <c r="UFB1" s="27"/>
      <c r="UFC1" s="27"/>
      <c r="UFD1" s="27"/>
      <c r="UFE1" s="27"/>
      <c r="UFF1" s="27"/>
      <c r="UFG1" s="27"/>
      <c r="UFH1" s="27"/>
      <c r="UFI1" s="27"/>
      <c r="UFJ1" s="27"/>
      <c r="UFK1" s="27"/>
      <c r="UFL1" s="27"/>
      <c r="UFM1" s="27"/>
      <c r="UFN1" s="27"/>
      <c r="UFO1" s="27"/>
      <c r="UFP1" s="27"/>
      <c r="UFQ1" s="27"/>
      <c r="UFR1" s="27"/>
      <c r="UFS1" s="27"/>
      <c r="UFT1" s="27"/>
      <c r="UFU1" s="27"/>
      <c r="UFV1" s="27"/>
      <c r="UFW1" s="27"/>
      <c r="UFX1" s="27"/>
      <c r="UFY1" s="27"/>
      <c r="UFZ1" s="27"/>
      <c r="UGA1" s="27"/>
      <c r="UGB1" s="27"/>
      <c r="UGC1" s="27"/>
      <c r="UGD1" s="27"/>
      <c r="UGE1" s="27"/>
      <c r="UGF1" s="27"/>
      <c r="UGG1" s="27"/>
      <c r="UGH1" s="27"/>
      <c r="UGI1" s="27"/>
      <c r="UGJ1" s="27"/>
      <c r="UGK1" s="27"/>
      <c r="UGL1" s="27"/>
      <c r="UGM1" s="27"/>
      <c r="UGN1" s="27"/>
      <c r="UGO1" s="27"/>
      <c r="UGP1" s="27"/>
      <c r="UGQ1" s="27"/>
      <c r="UGR1" s="27"/>
      <c r="UGS1" s="27"/>
      <c r="UGT1" s="27"/>
      <c r="UGU1" s="27"/>
      <c r="UGV1" s="27"/>
      <c r="UGW1" s="27"/>
      <c r="UGX1" s="27"/>
      <c r="UGY1" s="27"/>
      <c r="UGZ1" s="27"/>
      <c r="UHA1" s="27"/>
      <c r="UHB1" s="27"/>
      <c r="UHC1" s="27"/>
      <c r="UHD1" s="27"/>
      <c r="UHE1" s="27"/>
      <c r="UHF1" s="27"/>
      <c r="UHG1" s="27"/>
      <c r="UHH1" s="27"/>
      <c r="UHI1" s="27"/>
      <c r="UHJ1" s="27"/>
      <c r="UHK1" s="27"/>
      <c r="UHL1" s="27"/>
      <c r="UHM1" s="27"/>
      <c r="UHN1" s="27"/>
      <c r="UHO1" s="27"/>
      <c r="UHP1" s="27"/>
      <c r="UHQ1" s="27"/>
      <c r="UHR1" s="27"/>
      <c r="UHS1" s="27"/>
      <c r="UHT1" s="27"/>
      <c r="UHU1" s="27"/>
      <c r="UHV1" s="27"/>
      <c r="UHW1" s="27"/>
      <c r="UHX1" s="27"/>
      <c r="UHY1" s="27"/>
      <c r="UHZ1" s="27"/>
      <c r="UIA1" s="27"/>
      <c r="UIB1" s="27"/>
      <c r="UIC1" s="27"/>
      <c r="UID1" s="27"/>
      <c r="UIE1" s="27"/>
      <c r="UIF1" s="27"/>
      <c r="UIG1" s="27"/>
      <c r="UIH1" s="27"/>
      <c r="UII1" s="27"/>
      <c r="UIJ1" s="27"/>
      <c r="UIK1" s="27"/>
      <c r="UIL1" s="27"/>
      <c r="UIM1" s="27"/>
      <c r="UIN1" s="27"/>
      <c r="UIO1" s="27"/>
      <c r="UIP1" s="27"/>
      <c r="UIQ1" s="27"/>
      <c r="UIR1" s="27"/>
      <c r="UIS1" s="27"/>
      <c r="UIT1" s="27"/>
      <c r="UIU1" s="27"/>
      <c r="UIV1" s="27"/>
      <c r="UIW1" s="27"/>
      <c r="UIX1" s="27"/>
      <c r="UIY1" s="27"/>
      <c r="UIZ1" s="27"/>
      <c r="UJA1" s="27"/>
      <c r="UJB1" s="27"/>
      <c r="UJC1" s="27"/>
      <c r="UJD1" s="27"/>
      <c r="UJE1" s="27"/>
      <c r="UJF1" s="27"/>
      <c r="UJG1" s="27"/>
      <c r="UJH1" s="27"/>
      <c r="UJI1" s="27"/>
      <c r="UJJ1" s="27"/>
      <c r="UJK1" s="27"/>
      <c r="UJL1" s="27"/>
      <c r="UJM1" s="27"/>
      <c r="UJN1" s="27"/>
      <c r="UJO1" s="27"/>
      <c r="UJP1" s="27"/>
      <c r="UJQ1" s="27"/>
      <c r="UJR1" s="27"/>
      <c r="UJS1" s="27"/>
      <c r="UJT1" s="27"/>
      <c r="UJU1" s="27"/>
      <c r="UJV1" s="27"/>
      <c r="UJW1" s="27"/>
      <c r="UJX1" s="27"/>
      <c r="UJY1" s="27"/>
      <c r="UJZ1" s="27"/>
      <c r="UKA1" s="27"/>
      <c r="UKB1" s="27"/>
      <c r="UKC1" s="27"/>
      <c r="UKD1" s="27"/>
      <c r="UKE1" s="27"/>
      <c r="UKF1" s="27"/>
      <c r="UKG1" s="27"/>
      <c r="UKH1" s="27"/>
      <c r="UKI1" s="27"/>
      <c r="UKJ1" s="27"/>
      <c r="UKK1" s="27"/>
      <c r="UKL1" s="27"/>
      <c r="UKM1" s="27"/>
      <c r="UKN1" s="27"/>
      <c r="UKO1" s="27"/>
      <c r="UKP1" s="27"/>
      <c r="UKQ1" s="27"/>
      <c r="UKR1" s="27"/>
      <c r="UKS1" s="27"/>
      <c r="UKT1" s="27"/>
      <c r="UKU1" s="27"/>
      <c r="UKV1" s="27"/>
      <c r="UKW1" s="27"/>
      <c r="UKX1" s="27"/>
      <c r="UKY1" s="27"/>
      <c r="UKZ1" s="27"/>
      <c r="ULA1" s="27"/>
      <c r="ULB1" s="27"/>
      <c r="ULC1" s="27"/>
      <c r="ULD1" s="27"/>
      <c r="ULE1" s="27"/>
      <c r="ULF1" s="27"/>
      <c r="ULG1" s="27"/>
      <c r="ULH1" s="27"/>
      <c r="ULI1" s="27"/>
      <c r="ULJ1" s="27"/>
      <c r="ULK1" s="27"/>
      <c r="ULL1" s="27"/>
      <c r="ULM1" s="27"/>
      <c r="ULN1" s="27"/>
      <c r="ULO1" s="27"/>
      <c r="ULP1" s="27"/>
      <c r="ULQ1" s="27"/>
      <c r="ULR1" s="27"/>
      <c r="ULS1" s="27"/>
      <c r="ULT1" s="27"/>
      <c r="ULU1" s="27"/>
      <c r="ULV1" s="27"/>
      <c r="ULW1" s="27"/>
      <c r="ULX1" s="27"/>
      <c r="ULY1" s="27"/>
      <c r="ULZ1" s="27"/>
      <c r="UMA1" s="27"/>
      <c r="UMB1" s="27"/>
      <c r="UMC1" s="27"/>
      <c r="UMD1" s="27"/>
      <c r="UME1" s="27"/>
      <c r="UMF1" s="27"/>
      <c r="UMG1" s="27"/>
      <c r="UMH1" s="27"/>
      <c r="UMI1" s="27"/>
      <c r="UMJ1" s="27"/>
      <c r="UMK1" s="27"/>
      <c r="UML1" s="27"/>
      <c r="UMM1" s="27"/>
      <c r="UMN1" s="27"/>
      <c r="UMO1" s="27"/>
      <c r="UMP1" s="27"/>
      <c r="UMQ1" s="27"/>
      <c r="UMR1" s="27"/>
      <c r="UMS1" s="27"/>
      <c r="UMT1" s="27"/>
      <c r="UMU1" s="27"/>
      <c r="UMV1" s="27"/>
      <c r="UMW1" s="27"/>
      <c r="UMX1" s="27"/>
      <c r="UMY1" s="27"/>
      <c r="UMZ1" s="27"/>
      <c r="UNA1" s="27"/>
      <c r="UNB1" s="27"/>
      <c r="UNC1" s="27"/>
      <c r="UND1" s="27"/>
      <c r="UNE1" s="27"/>
      <c r="UNF1" s="27"/>
      <c r="UNG1" s="27"/>
      <c r="UNH1" s="27"/>
      <c r="UNI1" s="27"/>
      <c r="UNJ1" s="27"/>
      <c r="UNK1" s="27"/>
      <c r="UNL1" s="27"/>
      <c r="UNM1" s="27"/>
      <c r="UNN1" s="27"/>
      <c r="UNO1" s="27"/>
      <c r="UNP1" s="27"/>
      <c r="UNQ1" s="27"/>
      <c r="UNR1" s="27"/>
      <c r="UNS1" s="27"/>
      <c r="UNT1" s="27"/>
      <c r="UNU1" s="27"/>
      <c r="UNV1" s="27"/>
      <c r="UNW1" s="27"/>
      <c r="UNX1" s="27"/>
      <c r="UNY1" s="27"/>
      <c r="UNZ1" s="27"/>
      <c r="UOA1" s="27"/>
      <c r="UOB1" s="27"/>
      <c r="UOC1" s="27"/>
      <c r="UOD1" s="27"/>
      <c r="UOE1" s="27"/>
      <c r="UOF1" s="27"/>
      <c r="UOG1" s="27"/>
      <c r="UOH1" s="27"/>
      <c r="UOI1" s="27"/>
      <c r="UOJ1" s="27"/>
      <c r="UOK1" s="27"/>
      <c r="UOL1" s="27"/>
      <c r="UOM1" s="27"/>
      <c r="UON1" s="27"/>
      <c r="UOO1" s="27"/>
      <c r="UOP1" s="27"/>
      <c r="UOQ1" s="27"/>
      <c r="UOR1" s="27"/>
      <c r="UOS1" s="27"/>
      <c r="UOT1" s="27"/>
      <c r="UOU1" s="27"/>
      <c r="UOV1" s="27"/>
      <c r="UOW1" s="27"/>
      <c r="UOX1" s="27"/>
      <c r="UOY1" s="27"/>
      <c r="UOZ1" s="27"/>
      <c r="UPA1" s="27"/>
      <c r="UPB1" s="27"/>
      <c r="UPC1" s="27"/>
      <c r="UPD1" s="27"/>
      <c r="UPE1" s="27"/>
      <c r="UPF1" s="27"/>
      <c r="UPG1" s="27"/>
      <c r="UPH1" s="27"/>
      <c r="UPI1" s="27"/>
      <c r="UPJ1" s="27"/>
      <c r="UPK1" s="27"/>
      <c r="UPL1" s="27"/>
      <c r="UPM1" s="27"/>
      <c r="UPN1" s="27"/>
      <c r="UPO1" s="27"/>
      <c r="UPP1" s="27"/>
      <c r="UPQ1" s="27"/>
      <c r="UPR1" s="27"/>
      <c r="UPS1" s="27"/>
      <c r="UPT1" s="27"/>
      <c r="UPU1" s="27"/>
      <c r="UPV1" s="27"/>
      <c r="UPW1" s="27"/>
      <c r="UPX1" s="27"/>
      <c r="UPY1" s="27"/>
      <c r="UPZ1" s="27"/>
      <c r="UQA1" s="27"/>
      <c r="UQB1" s="27"/>
      <c r="UQC1" s="27"/>
      <c r="UQD1" s="27"/>
      <c r="UQE1" s="27"/>
      <c r="UQF1" s="27"/>
      <c r="UQG1" s="27"/>
      <c r="UQH1" s="27"/>
      <c r="UQI1" s="27"/>
      <c r="UQJ1" s="27"/>
      <c r="UQK1" s="27"/>
      <c r="UQL1" s="27"/>
      <c r="UQM1" s="27"/>
      <c r="UQN1" s="27"/>
      <c r="UQO1" s="27"/>
      <c r="UQP1" s="27"/>
      <c r="UQQ1" s="27"/>
      <c r="UQR1" s="27"/>
      <c r="UQS1" s="27"/>
      <c r="UQT1" s="27"/>
      <c r="UQU1" s="27"/>
      <c r="UQV1" s="27"/>
      <c r="UQW1" s="27"/>
      <c r="UQX1" s="27"/>
      <c r="UQY1" s="27"/>
      <c r="UQZ1" s="27"/>
      <c r="URA1" s="27"/>
      <c r="URB1" s="27"/>
      <c r="URC1" s="27"/>
      <c r="URD1" s="27"/>
      <c r="URE1" s="27"/>
      <c r="URF1" s="27"/>
      <c r="URG1" s="27"/>
      <c r="URH1" s="27"/>
      <c r="URI1" s="27"/>
      <c r="URJ1" s="27"/>
      <c r="URK1" s="27"/>
      <c r="URL1" s="27"/>
      <c r="URM1" s="27"/>
      <c r="URN1" s="27"/>
      <c r="URO1" s="27"/>
      <c r="URP1" s="27"/>
      <c r="URQ1" s="27"/>
      <c r="URR1" s="27"/>
      <c r="URS1" s="27"/>
      <c r="URT1" s="27"/>
      <c r="URU1" s="27"/>
      <c r="URV1" s="27"/>
      <c r="URW1" s="27"/>
      <c r="URX1" s="27"/>
      <c r="URY1" s="27"/>
      <c r="URZ1" s="27"/>
      <c r="USA1" s="27"/>
      <c r="USB1" s="27"/>
      <c r="USC1" s="27"/>
      <c r="USD1" s="27"/>
      <c r="USE1" s="27"/>
      <c r="USF1" s="27"/>
      <c r="USG1" s="27"/>
      <c r="USH1" s="27"/>
      <c r="USI1" s="27"/>
      <c r="USJ1" s="27"/>
      <c r="USK1" s="27"/>
      <c r="USL1" s="27"/>
      <c r="USM1" s="27"/>
      <c r="USN1" s="27"/>
      <c r="USO1" s="27"/>
      <c r="USP1" s="27"/>
      <c r="USQ1" s="27"/>
      <c r="USR1" s="27"/>
      <c r="USS1" s="27"/>
      <c r="UST1" s="27"/>
      <c r="USU1" s="27"/>
      <c r="USV1" s="27"/>
      <c r="USW1" s="27"/>
      <c r="USX1" s="27"/>
      <c r="USY1" s="27"/>
      <c r="USZ1" s="27"/>
      <c r="UTA1" s="27"/>
      <c r="UTB1" s="27"/>
      <c r="UTC1" s="27"/>
      <c r="UTD1" s="27"/>
      <c r="UTE1" s="27"/>
      <c r="UTF1" s="27"/>
      <c r="UTG1" s="27"/>
      <c r="UTH1" s="27"/>
      <c r="UTI1" s="27"/>
      <c r="UTJ1" s="27"/>
      <c r="UTK1" s="27"/>
      <c r="UTL1" s="27"/>
      <c r="UTM1" s="27"/>
      <c r="UTN1" s="27"/>
      <c r="UTO1" s="27"/>
      <c r="UTP1" s="27"/>
      <c r="UTQ1" s="27"/>
      <c r="UTR1" s="27"/>
      <c r="UTS1" s="27"/>
      <c r="UTT1" s="27"/>
      <c r="UTU1" s="27"/>
      <c r="UTV1" s="27"/>
      <c r="UTW1" s="27"/>
      <c r="UTX1" s="27"/>
      <c r="UTY1" s="27"/>
      <c r="UTZ1" s="27"/>
      <c r="UUA1" s="27"/>
      <c r="UUB1" s="27"/>
      <c r="UUC1" s="27"/>
      <c r="UUD1" s="27"/>
      <c r="UUE1" s="27"/>
      <c r="UUF1" s="27"/>
      <c r="UUG1" s="27"/>
      <c r="UUH1" s="27"/>
      <c r="UUI1" s="27"/>
      <c r="UUJ1" s="27"/>
      <c r="UUK1" s="27"/>
      <c r="UUL1" s="27"/>
      <c r="UUM1" s="27"/>
      <c r="UUN1" s="27"/>
      <c r="UUO1" s="27"/>
      <c r="UUP1" s="27"/>
      <c r="UUQ1" s="27"/>
      <c r="UUR1" s="27"/>
      <c r="UUS1" s="27"/>
      <c r="UUT1" s="27"/>
      <c r="UUU1" s="27"/>
      <c r="UUV1" s="27"/>
      <c r="UUW1" s="27"/>
      <c r="UUX1" s="27"/>
      <c r="UUY1" s="27"/>
      <c r="UUZ1" s="27"/>
      <c r="UVA1" s="27"/>
      <c r="UVB1" s="27"/>
      <c r="UVC1" s="27"/>
      <c r="UVD1" s="27"/>
      <c r="UVE1" s="27"/>
      <c r="UVF1" s="27"/>
      <c r="UVG1" s="27"/>
      <c r="UVH1" s="27"/>
      <c r="UVI1" s="27"/>
      <c r="UVJ1" s="27"/>
      <c r="UVK1" s="27"/>
      <c r="UVL1" s="27"/>
      <c r="UVM1" s="27"/>
      <c r="UVN1" s="27"/>
      <c r="UVO1" s="27"/>
      <c r="UVP1" s="27"/>
      <c r="UVQ1" s="27"/>
      <c r="UVR1" s="27"/>
      <c r="UVS1" s="27"/>
      <c r="UVT1" s="27"/>
      <c r="UVU1" s="27"/>
      <c r="UVV1" s="27"/>
      <c r="UVW1" s="27"/>
      <c r="UVX1" s="27"/>
      <c r="UVY1" s="27"/>
      <c r="UVZ1" s="27"/>
      <c r="UWA1" s="27"/>
      <c r="UWB1" s="27"/>
      <c r="UWC1" s="27"/>
      <c r="UWD1" s="27"/>
      <c r="UWE1" s="27"/>
      <c r="UWF1" s="27"/>
      <c r="UWG1" s="27"/>
      <c r="UWH1" s="27"/>
      <c r="UWI1" s="27"/>
      <c r="UWJ1" s="27"/>
      <c r="UWK1" s="27"/>
      <c r="UWL1" s="27"/>
      <c r="UWM1" s="27"/>
      <c r="UWN1" s="27"/>
      <c r="UWO1" s="27"/>
      <c r="UWP1" s="27"/>
      <c r="UWQ1" s="27"/>
      <c r="UWR1" s="27"/>
      <c r="UWS1" s="27"/>
      <c r="UWT1" s="27"/>
      <c r="UWU1" s="27"/>
      <c r="UWV1" s="27"/>
      <c r="UWW1" s="27"/>
      <c r="UWX1" s="27"/>
      <c r="UWY1" s="27"/>
      <c r="UWZ1" s="27"/>
      <c r="UXA1" s="27"/>
      <c r="UXB1" s="27"/>
      <c r="UXC1" s="27"/>
      <c r="UXD1" s="27"/>
      <c r="UXE1" s="27"/>
      <c r="UXF1" s="27"/>
      <c r="UXG1" s="27"/>
      <c r="UXH1" s="27"/>
      <c r="UXI1" s="27"/>
      <c r="UXJ1" s="27"/>
      <c r="UXK1" s="27"/>
      <c r="UXL1" s="27"/>
      <c r="UXM1" s="27"/>
      <c r="UXN1" s="27"/>
      <c r="UXO1" s="27"/>
      <c r="UXP1" s="27"/>
      <c r="UXQ1" s="27"/>
      <c r="UXR1" s="27"/>
      <c r="UXS1" s="27"/>
      <c r="UXT1" s="27"/>
      <c r="UXU1" s="27"/>
      <c r="UXV1" s="27"/>
      <c r="UXW1" s="27"/>
      <c r="UXX1" s="27"/>
      <c r="UXY1" s="27"/>
      <c r="UXZ1" s="27"/>
      <c r="UYA1" s="27"/>
      <c r="UYB1" s="27"/>
      <c r="UYC1" s="27"/>
      <c r="UYD1" s="27"/>
      <c r="UYE1" s="27"/>
      <c r="UYF1" s="27"/>
      <c r="UYG1" s="27"/>
      <c r="UYH1" s="27"/>
      <c r="UYI1" s="27"/>
      <c r="UYJ1" s="27"/>
      <c r="UYK1" s="27"/>
      <c r="UYL1" s="27"/>
      <c r="UYM1" s="27"/>
      <c r="UYN1" s="27"/>
      <c r="UYO1" s="27"/>
      <c r="UYP1" s="27"/>
      <c r="UYQ1" s="27"/>
      <c r="UYR1" s="27"/>
      <c r="UYS1" s="27"/>
      <c r="UYT1" s="27"/>
      <c r="UYU1" s="27"/>
      <c r="UYV1" s="27"/>
      <c r="UYW1" s="27"/>
      <c r="UYX1" s="27"/>
      <c r="UYY1" s="27"/>
      <c r="UYZ1" s="27"/>
      <c r="UZA1" s="27"/>
      <c r="UZB1" s="27"/>
      <c r="UZC1" s="27"/>
      <c r="UZD1" s="27"/>
      <c r="UZE1" s="27"/>
      <c r="UZF1" s="27"/>
      <c r="UZG1" s="27"/>
      <c r="UZH1" s="27"/>
      <c r="UZI1" s="27"/>
      <c r="UZJ1" s="27"/>
      <c r="UZK1" s="27"/>
      <c r="UZL1" s="27"/>
      <c r="UZM1" s="27"/>
      <c r="UZN1" s="27"/>
      <c r="UZO1" s="27"/>
      <c r="UZP1" s="27"/>
      <c r="UZQ1" s="27"/>
      <c r="UZR1" s="27"/>
      <c r="UZS1" s="27"/>
      <c r="UZT1" s="27"/>
      <c r="UZU1" s="27"/>
      <c r="UZV1" s="27"/>
      <c r="UZW1" s="27"/>
      <c r="UZX1" s="27"/>
      <c r="UZY1" s="27"/>
      <c r="UZZ1" s="27"/>
      <c r="VAA1" s="27"/>
      <c r="VAB1" s="27"/>
      <c r="VAC1" s="27"/>
      <c r="VAD1" s="27"/>
      <c r="VAE1" s="27"/>
      <c r="VAF1" s="27"/>
      <c r="VAG1" s="27"/>
      <c r="VAH1" s="27"/>
      <c r="VAI1" s="27"/>
      <c r="VAJ1" s="27"/>
      <c r="VAK1" s="27"/>
      <c r="VAL1" s="27"/>
      <c r="VAM1" s="27"/>
      <c r="VAN1" s="27"/>
      <c r="VAO1" s="27"/>
      <c r="VAP1" s="27"/>
      <c r="VAQ1" s="27"/>
      <c r="VAR1" s="27"/>
      <c r="VAS1" s="27"/>
      <c r="VAT1" s="27"/>
      <c r="VAU1" s="27"/>
      <c r="VAV1" s="27"/>
      <c r="VAW1" s="27"/>
      <c r="VAX1" s="27"/>
      <c r="VAY1" s="27"/>
      <c r="VAZ1" s="27"/>
      <c r="VBA1" s="27"/>
      <c r="VBB1" s="27"/>
      <c r="VBC1" s="27"/>
      <c r="VBD1" s="27"/>
      <c r="VBE1" s="27"/>
      <c r="VBF1" s="27"/>
      <c r="VBG1" s="27"/>
      <c r="VBH1" s="27"/>
      <c r="VBI1" s="27"/>
      <c r="VBJ1" s="27"/>
      <c r="VBK1" s="27"/>
      <c r="VBL1" s="27"/>
      <c r="VBM1" s="27"/>
      <c r="VBN1" s="27"/>
      <c r="VBO1" s="27"/>
      <c r="VBP1" s="27"/>
      <c r="VBQ1" s="27"/>
      <c r="VBR1" s="27"/>
      <c r="VBS1" s="27"/>
      <c r="VBT1" s="27"/>
      <c r="VBU1" s="27"/>
      <c r="VBV1" s="27"/>
      <c r="VBW1" s="27"/>
      <c r="VBX1" s="27"/>
      <c r="VBY1" s="27"/>
      <c r="VBZ1" s="27"/>
      <c r="VCA1" s="27"/>
      <c r="VCB1" s="27"/>
      <c r="VCC1" s="27"/>
      <c r="VCD1" s="27"/>
      <c r="VCE1" s="27"/>
      <c r="VCF1" s="27"/>
      <c r="VCG1" s="27"/>
      <c r="VCH1" s="27"/>
      <c r="VCI1" s="27"/>
      <c r="VCJ1" s="27"/>
      <c r="VCK1" s="27"/>
      <c r="VCL1" s="27"/>
      <c r="VCM1" s="27"/>
      <c r="VCN1" s="27"/>
      <c r="VCO1" s="27"/>
      <c r="VCP1" s="27"/>
      <c r="VCQ1" s="27"/>
      <c r="VCR1" s="27"/>
      <c r="VCS1" s="27"/>
      <c r="VCT1" s="27"/>
      <c r="VCU1" s="27"/>
      <c r="VCV1" s="27"/>
      <c r="VCW1" s="27"/>
      <c r="VCX1" s="27"/>
      <c r="VCY1" s="27"/>
      <c r="VCZ1" s="27"/>
      <c r="VDA1" s="27"/>
      <c r="VDB1" s="27"/>
      <c r="VDC1" s="27"/>
      <c r="VDD1" s="27"/>
      <c r="VDE1" s="27"/>
      <c r="VDF1" s="27"/>
      <c r="VDG1" s="27"/>
      <c r="VDH1" s="27"/>
      <c r="VDI1" s="27"/>
      <c r="VDJ1" s="27"/>
      <c r="VDK1" s="27"/>
      <c r="VDL1" s="27"/>
      <c r="VDM1" s="27"/>
      <c r="VDN1" s="27"/>
      <c r="VDO1" s="27"/>
      <c r="VDP1" s="27"/>
      <c r="VDQ1" s="27"/>
      <c r="VDR1" s="27"/>
      <c r="VDS1" s="27"/>
      <c r="VDT1" s="27"/>
      <c r="VDU1" s="27"/>
      <c r="VDV1" s="27"/>
      <c r="VDW1" s="27"/>
      <c r="VDX1" s="27"/>
      <c r="VDY1" s="27"/>
      <c r="VDZ1" s="27"/>
      <c r="VEA1" s="27"/>
      <c r="VEB1" s="27"/>
      <c r="VEC1" s="27"/>
      <c r="VED1" s="27"/>
      <c r="VEE1" s="27"/>
      <c r="VEF1" s="27"/>
      <c r="VEG1" s="27"/>
      <c r="VEH1" s="27"/>
      <c r="VEI1" s="27"/>
      <c r="VEJ1" s="27"/>
      <c r="VEK1" s="27"/>
      <c r="VEL1" s="27"/>
      <c r="VEM1" s="27"/>
      <c r="VEN1" s="27"/>
      <c r="VEO1" s="27"/>
      <c r="VEP1" s="27"/>
      <c r="VEQ1" s="27"/>
      <c r="VER1" s="27"/>
      <c r="VES1" s="27"/>
      <c r="VET1" s="27"/>
      <c r="VEU1" s="27"/>
      <c r="VEV1" s="27"/>
      <c r="VEW1" s="27"/>
      <c r="VEX1" s="27"/>
      <c r="VEY1" s="27"/>
      <c r="VEZ1" s="27"/>
      <c r="VFA1" s="27"/>
      <c r="VFB1" s="27"/>
      <c r="VFC1" s="27"/>
      <c r="VFD1" s="27"/>
      <c r="VFE1" s="27"/>
      <c r="VFF1" s="27"/>
      <c r="VFG1" s="27"/>
      <c r="VFH1" s="27"/>
      <c r="VFI1" s="27"/>
      <c r="VFJ1" s="27"/>
      <c r="VFK1" s="27"/>
      <c r="VFL1" s="27"/>
      <c r="VFM1" s="27"/>
      <c r="VFN1" s="27"/>
      <c r="VFO1" s="27"/>
      <c r="VFP1" s="27"/>
      <c r="VFQ1" s="27"/>
      <c r="VFR1" s="27"/>
      <c r="VFS1" s="27"/>
      <c r="VFT1" s="27"/>
      <c r="VFU1" s="27"/>
      <c r="VFV1" s="27"/>
      <c r="VFW1" s="27"/>
      <c r="VFX1" s="27"/>
      <c r="VFY1" s="27"/>
      <c r="VFZ1" s="27"/>
      <c r="VGA1" s="27"/>
      <c r="VGB1" s="27"/>
      <c r="VGC1" s="27"/>
      <c r="VGD1" s="27"/>
      <c r="VGE1" s="27"/>
      <c r="VGF1" s="27"/>
      <c r="VGG1" s="27"/>
      <c r="VGH1" s="27"/>
      <c r="VGI1" s="27"/>
      <c r="VGJ1" s="27"/>
      <c r="VGK1" s="27"/>
      <c r="VGL1" s="27"/>
      <c r="VGM1" s="27"/>
      <c r="VGN1" s="27"/>
      <c r="VGO1" s="27"/>
      <c r="VGP1" s="27"/>
      <c r="VGQ1" s="27"/>
      <c r="VGR1" s="27"/>
      <c r="VGS1" s="27"/>
      <c r="VGT1" s="27"/>
      <c r="VGU1" s="27"/>
      <c r="VGV1" s="27"/>
      <c r="VGW1" s="27"/>
      <c r="VGX1" s="27"/>
      <c r="VGY1" s="27"/>
      <c r="VGZ1" s="27"/>
      <c r="VHA1" s="27"/>
      <c r="VHB1" s="27"/>
      <c r="VHC1" s="27"/>
      <c r="VHD1" s="27"/>
      <c r="VHE1" s="27"/>
      <c r="VHF1" s="27"/>
      <c r="VHG1" s="27"/>
      <c r="VHH1" s="27"/>
      <c r="VHI1" s="27"/>
      <c r="VHJ1" s="27"/>
      <c r="VHK1" s="27"/>
      <c r="VHL1" s="27"/>
      <c r="VHM1" s="27"/>
      <c r="VHN1" s="27"/>
      <c r="VHO1" s="27"/>
      <c r="VHP1" s="27"/>
      <c r="VHQ1" s="27"/>
      <c r="VHR1" s="27"/>
      <c r="VHS1" s="27"/>
      <c r="VHT1" s="27"/>
      <c r="VHU1" s="27"/>
      <c r="VHV1" s="27"/>
      <c r="VHW1" s="27"/>
      <c r="VHX1" s="27"/>
      <c r="VHY1" s="27"/>
      <c r="VHZ1" s="27"/>
      <c r="VIA1" s="27"/>
      <c r="VIB1" s="27"/>
      <c r="VIC1" s="27"/>
      <c r="VID1" s="27"/>
      <c r="VIE1" s="27"/>
      <c r="VIF1" s="27"/>
      <c r="VIG1" s="27"/>
      <c r="VIH1" s="27"/>
      <c r="VII1" s="27"/>
      <c r="VIJ1" s="27"/>
      <c r="VIK1" s="27"/>
      <c r="VIL1" s="27"/>
      <c r="VIM1" s="27"/>
      <c r="VIN1" s="27"/>
      <c r="VIO1" s="27"/>
      <c r="VIP1" s="27"/>
      <c r="VIQ1" s="27"/>
      <c r="VIR1" s="27"/>
      <c r="VIS1" s="27"/>
      <c r="VIT1" s="27"/>
      <c r="VIU1" s="27"/>
      <c r="VIV1" s="27"/>
      <c r="VIW1" s="27"/>
      <c r="VIX1" s="27"/>
      <c r="VIY1" s="27"/>
      <c r="VIZ1" s="27"/>
      <c r="VJA1" s="27"/>
      <c r="VJB1" s="27"/>
      <c r="VJC1" s="27"/>
      <c r="VJD1" s="27"/>
      <c r="VJE1" s="27"/>
      <c r="VJF1" s="27"/>
      <c r="VJG1" s="27"/>
      <c r="VJH1" s="27"/>
      <c r="VJI1" s="27"/>
      <c r="VJJ1" s="27"/>
      <c r="VJK1" s="27"/>
      <c r="VJL1" s="27"/>
      <c r="VJM1" s="27"/>
      <c r="VJN1" s="27"/>
      <c r="VJO1" s="27"/>
      <c r="VJP1" s="27"/>
      <c r="VJQ1" s="27"/>
      <c r="VJR1" s="27"/>
      <c r="VJS1" s="27"/>
      <c r="VJT1" s="27"/>
      <c r="VJU1" s="27"/>
      <c r="VJV1" s="27"/>
      <c r="VJW1" s="27"/>
      <c r="VJX1" s="27"/>
      <c r="VJY1" s="27"/>
      <c r="VJZ1" s="27"/>
      <c r="VKA1" s="27"/>
      <c r="VKB1" s="27"/>
      <c r="VKC1" s="27"/>
      <c r="VKD1" s="27"/>
      <c r="VKE1" s="27"/>
      <c r="VKF1" s="27"/>
      <c r="VKG1" s="27"/>
      <c r="VKH1" s="27"/>
      <c r="VKI1" s="27"/>
      <c r="VKJ1" s="27"/>
      <c r="VKK1" s="27"/>
      <c r="VKL1" s="27"/>
      <c r="VKM1" s="27"/>
      <c r="VKN1" s="27"/>
      <c r="VKO1" s="27"/>
      <c r="VKP1" s="27"/>
      <c r="VKQ1" s="27"/>
      <c r="VKR1" s="27"/>
      <c r="VKS1" s="27"/>
      <c r="VKT1" s="27"/>
      <c r="VKU1" s="27"/>
      <c r="VKV1" s="27"/>
      <c r="VKW1" s="27"/>
      <c r="VKX1" s="27"/>
      <c r="VKY1" s="27"/>
      <c r="VKZ1" s="27"/>
      <c r="VLA1" s="27"/>
      <c r="VLB1" s="27"/>
      <c r="VLC1" s="27"/>
      <c r="VLD1" s="27"/>
      <c r="VLE1" s="27"/>
      <c r="VLF1" s="27"/>
      <c r="VLG1" s="27"/>
      <c r="VLH1" s="27"/>
      <c r="VLI1" s="27"/>
      <c r="VLJ1" s="27"/>
      <c r="VLK1" s="27"/>
      <c r="VLL1" s="27"/>
      <c r="VLM1" s="27"/>
      <c r="VLN1" s="27"/>
      <c r="VLO1" s="27"/>
      <c r="VLP1" s="27"/>
      <c r="VLQ1" s="27"/>
      <c r="VLR1" s="27"/>
      <c r="VLS1" s="27"/>
      <c r="VLT1" s="27"/>
      <c r="VLU1" s="27"/>
      <c r="VLV1" s="27"/>
      <c r="VLW1" s="27"/>
      <c r="VLX1" s="27"/>
      <c r="VLY1" s="27"/>
      <c r="VLZ1" s="27"/>
      <c r="VMA1" s="27"/>
      <c r="VMB1" s="27"/>
      <c r="VMC1" s="27"/>
      <c r="VMD1" s="27"/>
      <c r="VME1" s="27"/>
      <c r="VMF1" s="27"/>
      <c r="VMG1" s="27"/>
      <c r="VMH1" s="27"/>
      <c r="VMI1" s="27"/>
      <c r="VMJ1" s="27"/>
      <c r="VMK1" s="27"/>
      <c r="VML1" s="27"/>
      <c r="VMM1" s="27"/>
      <c r="VMN1" s="27"/>
      <c r="VMO1" s="27"/>
      <c r="VMP1" s="27"/>
      <c r="VMQ1" s="27"/>
      <c r="VMR1" s="27"/>
      <c r="VMS1" s="27"/>
      <c r="VMT1" s="27"/>
      <c r="VMU1" s="27"/>
      <c r="VMV1" s="27"/>
      <c r="VMW1" s="27"/>
      <c r="VMX1" s="27"/>
      <c r="VMY1" s="27"/>
      <c r="VMZ1" s="27"/>
      <c r="VNA1" s="27"/>
      <c r="VNB1" s="27"/>
      <c r="VNC1" s="27"/>
      <c r="VND1" s="27"/>
      <c r="VNE1" s="27"/>
      <c r="VNF1" s="27"/>
      <c r="VNG1" s="27"/>
      <c r="VNH1" s="27"/>
      <c r="VNI1" s="27"/>
      <c r="VNJ1" s="27"/>
      <c r="VNK1" s="27"/>
      <c r="VNL1" s="27"/>
      <c r="VNM1" s="27"/>
      <c r="VNN1" s="27"/>
      <c r="VNO1" s="27"/>
      <c r="VNP1" s="27"/>
      <c r="VNQ1" s="27"/>
      <c r="VNR1" s="27"/>
      <c r="VNS1" s="27"/>
      <c r="VNT1" s="27"/>
      <c r="VNU1" s="27"/>
      <c r="VNV1" s="27"/>
      <c r="VNW1" s="27"/>
      <c r="VNX1" s="27"/>
      <c r="VNY1" s="27"/>
      <c r="VNZ1" s="27"/>
      <c r="VOA1" s="27"/>
      <c r="VOB1" s="27"/>
      <c r="VOC1" s="27"/>
      <c r="VOD1" s="27"/>
      <c r="VOE1" s="27"/>
      <c r="VOF1" s="27"/>
      <c r="VOG1" s="27"/>
      <c r="VOH1" s="27"/>
      <c r="VOI1" s="27"/>
      <c r="VOJ1" s="27"/>
      <c r="VOK1" s="27"/>
      <c r="VOL1" s="27"/>
      <c r="VOM1" s="27"/>
      <c r="VON1" s="27"/>
      <c r="VOO1" s="27"/>
      <c r="VOP1" s="27"/>
      <c r="VOQ1" s="27"/>
      <c r="VOR1" s="27"/>
      <c r="VOS1" s="27"/>
      <c r="VOT1" s="27"/>
      <c r="VOU1" s="27"/>
      <c r="VOV1" s="27"/>
      <c r="VOW1" s="27"/>
      <c r="VOX1" s="27"/>
      <c r="VOY1" s="27"/>
      <c r="VOZ1" s="27"/>
      <c r="VPA1" s="27"/>
      <c r="VPB1" s="27"/>
      <c r="VPC1" s="27"/>
      <c r="VPD1" s="27"/>
      <c r="VPE1" s="27"/>
      <c r="VPF1" s="27"/>
      <c r="VPG1" s="27"/>
      <c r="VPH1" s="27"/>
      <c r="VPI1" s="27"/>
      <c r="VPJ1" s="27"/>
      <c r="VPK1" s="27"/>
      <c r="VPL1" s="27"/>
      <c r="VPM1" s="27"/>
      <c r="VPN1" s="27"/>
      <c r="VPO1" s="27"/>
      <c r="VPP1" s="27"/>
      <c r="VPQ1" s="27"/>
      <c r="VPR1" s="27"/>
      <c r="VPS1" s="27"/>
      <c r="VPT1" s="27"/>
      <c r="VPU1" s="27"/>
      <c r="VPV1" s="27"/>
      <c r="VPW1" s="27"/>
      <c r="VPX1" s="27"/>
      <c r="VPY1" s="27"/>
      <c r="VPZ1" s="27"/>
      <c r="VQA1" s="27"/>
      <c r="VQB1" s="27"/>
      <c r="VQC1" s="27"/>
      <c r="VQD1" s="27"/>
      <c r="VQE1" s="27"/>
      <c r="VQF1" s="27"/>
      <c r="VQG1" s="27"/>
      <c r="VQH1" s="27"/>
      <c r="VQI1" s="27"/>
      <c r="VQJ1" s="27"/>
      <c r="VQK1" s="27"/>
      <c r="VQL1" s="27"/>
      <c r="VQM1" s="27"/>
      <c r="VQN1" s="27"/>
      <c r="VQO1" s="27"/>
      <c r="VQP1" s="27"/>
      <c r="VQQ1" s="27"/>
      <c r="VQR1" s="27"/>
      <c r="VQS1" s="27"/>
      <c r="VQT1" s="27"/>
      <c r="VQU1" s="27"/>
      <c r="VQV1" s="27"/>
      <c r="VQW1" s="27"/>
      <c r="VQX1" s="27"/>
      <c r="VQY1" s="27"/>
      <c r="VQZ1" s="27"/>
      <c r="VRA1" s="27"/>
      <c r="VRB1" s="27"/>
      <c r="VRC1" s="27"/>
      <c r="VRD1" s="27"/>
      <c r="VRE1" s="27"/>
      <c r="VRF1" s="27"/>
      <c r="VRG1" s="27"/>
      <c r="VRH1" s="27"/>
      <c r="VRI1" s="27"/>
      <c r="VRJ1" s="27"/>
      <c r="VRK1" s="27"/>
      <c r="VRL1" s="27"/>
      <c r="VRM1" s="27"/>
      <c r="VRN1" s="27"/>
      <c r="VRO1" s="27"/>
      <c r="VRP1" s="27"/>
      <c r="VRQ1" s="27"/>
      <c r="VRR1" s="27"/>
      <c r="VRS1" s="27"/>
      <c r="VRT1" s="27"/>
      <c r="VRU1" s="27"/>
      <c r="VRV1" s="27"/>
      <c r="VRW1" s="27"/>
      <c r="VRX1" s="27"/>
      <c r="VRY1" s="27"/>
      <c r="VRZ1" s="27"/>
      <c r="VSA1" s="27"/>
      <c r="VSB1" s="27"/>
      <c r="VSC1" s="27"/>
      <c r="VSD1" s="27"/>
      <c r="VSE1" s="27"/>
      <c r="VSF1" s="27"/>
      <c r="VSG1" s="27"/>
      <c r="VSH1" s="27"/>
      <c r="VSI1" s="27"/>
      <c r="VSJ1" s="27"/>
      <c r="VSK1" s="27"/>
      <c r="VSL1" s="27"/>
      <c r="VSM1" s="27"/>
      <c r="VSN1" s="27"/>
      <c r="VSO1" s="27"/>
      <c r="VSP1" s="27"/>
      <c r="VSQ1" s="27"/>
      <c r="VSR1" s="27"/>
      <c r="VSS1" s="27"/>
      <c r="VST1" s="27"/>
      <c r="VSU1" s="27"/>
      <c r="VSV1" s="27"/>
      <c r="VSW1" s="27"/>
      <c r="VSX1" s="27"/>
      <c r="VSY1" s="27"/>
      <c r="VSZ1" s="27"/>
      <c r="VTA1" s="27"/>
      <c r="VTB1" s="27"/>
      <c r="VTC1" s="27"/>
      <c r="VTD1" s="27"/>
      <c r="VTE1" s="27"/>
      <c r="VTF1" s="27"/>
      <c r="VTG1" s="27"/>
      <c r="VTH1" s="27"/>
      <c r="VTI1" s="27"/>
      <c r="VTJ1" s="27"/>
      <c r="VTK1" s="27"/>
      <c r="VTL1" s="27"/>
      <c r="VTM1" s="27"/>
      <c r="VTN1" s="27"/>
      <c r="VTO1" s="27"/>
      <c r="VTP1" s="27"/>
      <c r="VTQ1" s="27"/>
      <c r="VTR1" s="27"/>
      <c r="VTS1" s="27"/>
      <c r="VTT1" s="27"/>
      <c r="VTU1" s="27"/>
      <c r="VTV1" s="27"/>
      <c r="VTW1" s="27"/>
      <c r="VTX1" s="27"/>
      <c r="VTY1" s="27"/>
      <c r="VTZ1" s="27"/>
      <c r="VUA1" s="27"/>
      <c r="VUB1" s="27"/>
      <c r="VUC1" s="27"/>
      <c r="VUD1" s="27"/>
      <c r="VUE1" s="27"/>
      <c r="VUF1" s="27"/>
      <c r="VUG1" s="27"/>
      <c r="VUH1" s="27"/>
      <c r="VUI1" s="27"/>
      <c r="VUJ1" s="27"/>
      <c r="VUK1" s="27"/>
      <c r="VUL1" s="27"/>
      <c r="VUM1" s="27"/>
      <c r="VUN1" s="27"/>
      <c r="VUO1" s="27"/>
      <c r="VUP1" s="27"/>
      <c r="VUQ1" s="27"/>
      <c r="VUR1" s="27"/>
      <c r="VUS1" s="27"/>
      <c r="VUT1" s="27"/>
      <c r="VUU1" s="27"/>
      <c r="VUV1" s="27"/>
      <c r="VUW1" s="27"/>
      <c r="VUX1" s="27"/>
      <c r="VUY1" s="27"/>
      <c r="VUZ1" s="27"/>
      <c r="VVA1" s="27"/>
      <c r="VVB1" s="27"/>
      <c r="VVC1" s="27"/>
      <c r="VVD1" s="27"/>
      <c r="VVE1" s="27"/>
      <c r="VVF1" s="27"/>
      <c r="VVG1" s="27"/>
      <c r="VVH1" s="27"/>
      <c r="VVI1" s="27"/>
      <c r="VVJ1" s="27"/>
      <c r="VVK1" s="27"/>
      <c r="VVL1" s="27"/>
      <c r="VVM1" s="27"/>
      <c r="VVN1" s="27"/>
      <c r="VVO1" s="27"/>
      <c r="VVP1" s="27"/>
      <c r="VVQ1" s="27"/>
      <c r="VVR1" s="27"/>
      <c r="VVS1" s="27"/>
      <c r="VVT1" s="27"/>
      <c r="VVU1" s="27"/>
      <c r="VVV1" s="27"/>
      <c r="VVW1" s="27"/>
      <c r="VVX1" s="27"/>
      <c r="VVY1" s="27"/>
      <c r="VVZ1" s="27"/>
      <c r="VWA1" s="27"/>
      <c r="VWB1" s="27"/>
      <c r="VWC1" s="27"/>
      <c r="VWD1" s="27"/>
      <c r="VWE1" s="27"/>
      <c r="VWF1" s="27"/>
      <c r="VWG1" s="27"/>
      <c r="VWH1" s="27"/>
      <c r="VWI1" s="27"/>
      <c r="VWJ1" s="27"/>
      <c r="VWK1" s="27"/>
      <c r="VWL1" s="27"/>
      <c r="VWM1" s="27"/>
      <c r="VWN1" s="27"/>
      <c r="VWO1" s="27"/>
      <c r="VWP1" s="27"/>
      <c r="VWQ1" s="27"/>
      <c r="VWR1" s="27"/>
      <c r="VWS1" s="27"/>
      <c r="VWT1" s="27"/>
      <c r="VWU1" s="27"/>
      <c r="VWV1" s="27"/>
      <c r="VWW1" s="27"/>
      <c r="VWX1" s="27"/>
      <c r="VWY1" s="27"/>
      <c r="VWZ1" s="27"/>
      <c r="VXA1" s="27"/>
      <c r="VXB1" s="27"/>
      <c r="VXC1" s="27"/>
      <c r="VXD1" s="27"/>
      <c r="VXE1" s="27"/>
      <c r="VXF1" s="27"/>
      <c r="VXG1" s="27"/>
      <c r="VXH1" s="27"/>
      <c r="VXI1" s="27"/>
      <c r="VXJ1" s="27"/>
      <c r="VXK1" s="27"/>
      <c r="VXL1" s="27"/>
      <c r="VXM1" s="27"/>
      <c r="VXN1" s="27"/>
      <c r="VXO1" s="27"/>
      <c r="VXP1" s="27"/>
      <c r="VXQ1" s="27"/>
      <c r="VXR1" s="27"/>
      <c r="VXS1" s="27"/>
      <c r="VXT1" s="27"/>
      <c r="VXU1" s="27"/>
      <c r="VXV1" s="27"/>
      <c r="VXW1" s="27"/>
      <c r="VXX1" s="27"/>
      <c r="VXY1" s="27"/>
      <c r="VXZ1" s="27"/>
      <c r="VYA1" s="27"/>
      <c r="VYB1" s="27"/>
      <c r="VYC1" s="27"/>
      <c r="VYD1" s="27"/>
      <c r="VYE1" s="27"/>
      <c r="VYF1" s="27"/>
      <c r="VYG1" s="27"/>
      <c r="VYH1" s="27"/>
      <c r="VYI1" s="27"/>
      <c r="VYJ1" s="27"/>
      <c r="VYK1" s="27"/>
      <c r="VYL1" s="27"/>
      <c r="VYM1" s="27"/>
      <c r="VYN1" s="27"/>
      <c r="VYO1" s="27"/>
      <c r="VYP1" s="27"/>
      <c r="VYQ1" s="27"/>
      <c r="VYR1" s="27"/>
      <c r="VYS1" s="27"/>
      <c r="VYT1" s="27"/>
      <c r="VYU1" s="27"/>
      <c r="VYV1" s="27"/>
      <c r="VYW1" s="27"/>
      <c r="VYX1" s="27"/>
      <c r="VYY1" s="27"/>
      <c r="VYZ1" s="27"/>
      <c r="VZA1" s="27"/>
      <c r="VZB1" s="27"/>
      <c r="VZC1" s="27"/>
      <c r="VZD1" s="27"/>
      <c r="VZE1" s="27"/>
      <c r="VZF1" s="27"/>
      <c r="VZG1" s="27"/>
      <c r="VZH1" s="27"/>
      <c r="VZI1" s="27"/>
      <c r="VZJ1" s="27"/>
      <c r="VZK1" s="27"/>
      <c r="VZL1" s="27"/>
      <c r="VZM1" s="27"/>
      <c r="VZN1" s="27"/>
      <c r="VZO1" s="27"/>
      <c r="VZP1" s="27"/>
      <c r="VZQ1" s="27"/>
      <c r="VZR1" s="27"/>
      <c r="VZS1" s="27"/>
      <c r="VZT1" s="27"/>
      <c r="VZU1" s="27"/>
      <c r="VZV1" s="27"/>
      <c r="VZW1" s="27"/>
      <c r="VZX1" s="27"/>
      <c r="VZY1" s="27"/>
      <c r="VZZ1" s="27"/>
      <c r="WAA1" s="27"/>
      <c r="WAB1" s="27"/>
      <c r="WAC1" s="27"/>
      <c r="WAD1" s="27"/>
      <c r="WAE1" s="27"/>
      <c r="WAF1" s="27"/>
      <c r="WAG1" s="27"/>
      <c r="WAH1" s="27"/>
      <c r="WAI1" s="27"/>
      <c r="WAJ1" s="27"/>
      <c r="WAK1" s="27"/>
      <c r="WAL1" s="27"/>
      <c r="WAM1" s="27"/>
      <c r="WAN1" s="27"/>
      <c r="WAO1" s="27"/>
      <c r="WAP1" s="27"/>
      <c r="WAQ1" s="27"/>
      <c r="WAR1" s="27"/>
      <c r="WAS1" s="27"/>
      <c r="WAT1" s="27"/>
      <c r="WAU1" s="27"/>
      <c r="WAV1" s="27"/>
      <c r="WAW1" s="27"/>
      <c r="WAX1" s="27"/>
      <c r="WAY1" s="27"/>
      <c r="WAZ1" s="27"/>
      <c r="WBA1" s="27"/>
      <c r="WBB1" s="27"/>
      <c r="WBC1" s="27"/>
      <c r="WBD1" s="27"/>
      <c r="WBE1" s="27"/>
      <c r="WBF1" s="27"/>
      <c r="WBG1" s="27"/>
      <c r="WBH1" s="27"/>
      <c r="WBI1" s="27"/>
      <c r="WBJ1" s="27"/>
      <c r="WBK1" s="27"/>
      <c r="WBL1" s="27"/>
      <c r="WBM1" s="27"/>
      <c r="WBN1" s="27"/>
      <c r="WBO1" s="27"/>
      <c r="WBP1" s="27"/>
      <c r="WBQ1" s="27"/>
      <c r="WBR1" s="27"/>
      <c r="WBS1" s="27"/>
      <c r="WBT1" s="27"/>
      <c r="WBU1" s="27"/>
      <c r="WBV1" s="27"/>
      <c r="WBW1" s="27"/>
      <c r="WBX1" s="27"/>
      <c r="WBY1" s="27"/>
      <c r="WBZ1" s="27"/>
      <c r="WCA1" s="27"/>
      <c r="WCB1" s="27"/>
      <c r="WCC1" s="27"/>
      <c r="WCD1" s="27"/>
      <c r="WCE1" s="27"/>
      <c r="WCF1" s="27"/>
      <c r="WCG1" s="27"/>
      <c r="WCH1" s="27"/>
      <c r="WCI1" s="27"/>
      <c r="WCJ1" s="27"/>
      <c r="WCK1" s="27"/>
      <c r="WCL1" s="27"/>
      <c r="WCM1" s="27"/>
      <c r="WCN1" s="27"/>
      <c r="WCO1" s="27"/>
      <c r="WCP1" s="27"/>
      <c r="WCQ1" s="27"/>
      <c r="WCR1" s="27"/>
      <c r="WCS1" s="27"/>
      <c r="WCT1" s="27"/>
      <c r="WCU1" s="27"/>
      <c r="WCV1" s="27"/>
      <c r="WCW1" s="27"/>
      <c r="WCX1" s="27"/>
      <c r="WCY1" s="27"/>
      <c r="WCZ1" s="27"/>
      <c r="WDA1" s="27"/>
      <c r="WDB1" s="27"/>
      <c r="WDC1" s="27"/>
      <c r="WDD1" s="27"/>
      <c r="WDE1" s="27"/>
      <c r="WDF1" s="27"/>
      <c r="WDG1" s="27"/>
      <c r="WDH1" s="27"/>
      <c r="WDI1" s="27"/>
      <c r="WDJ1" s="27"/>
      <c r="WDK1" s="27"/>
      <c r="WDL1" s="27"/>
      <c r="WDM1" s="27"/>
      <c r="WDN1" s="27"/>
      <c r="WDO1" s="27"/>
      <c r="WDP1" s="27"/>
      <c r="WDQ1" s="27"/>
      <c r="WDR1" s="27"/>
      <c r="WDS1" s="27"/>
      <c r="WDT1" s="27"/>
      <c r="WDU1" s="27"/>
      <c r="WDV1" s="27"/>
      <c r="WDW1" s="27"/>
      <c r="WDX1" s="27"/>
      <c r="WDY1" s="27"/>
      <c r="WDZ1" s="27"/>
      <c r="WEA1" s="27"/>
      <c r="WEB1" s="27"/>
      <c r="WEC1" s="27"/>
      <c r="WED1" s="27"/>
      <c r="WEE1" s="27"/>
      <c r="WEF1" s="27"/>
      <c r="WEG1" s="27"/>
      <c r="WEH1" s="27"/>
      <c r="WEI1" s="27"/>
      <c r="WEJ1" s="27"/>
      <c r="WEK1" s="27"/>
      <c r="WEL1" s="27"/>
      <c r="WEM1" s="27"/>
      <c r="WEN1" s="27"/>
      <c r="WEO1" s="27"/>
      <c r="WEP1" s="27"/>
      <c r="WEQ1" s="27"/>
      <c r="WER1" s="27"/>
      <c r="WES1" s="27"/>
      <c r="WET1" s="27"/>
      <c r="WEU1" s="27"/>
      <c r="WEV1" s="27"/>
      <c r="WEW1" s="27"/>
      <c r="WEX1" s="27"/>
      <c r="WEY1" s="27"/>
      <c r="WEZ1" s="27"/>
      <c r="WFA1" s="27"/>
      <c r="WFB1" s="27"/>
      <c r="WFC1" s="27"/>
      <c r="WFD1" s="27"/>
      <c r="WFE1" s="27"/>
      <c r="WFF1" s="27"/>
      <c r="WFG1" s="27"/>
      <c r="WFH1" s="27"/>
      <c r="WFI1" s="27"/>
      <c r="WFJ1" s="27"/>
      <c r="WFK1" s="27"/>
      <c r="WFL1" s="27"/>
      <c r="WFM1" s="27"/>
      <c r="WFN1" s="27"/>
      <c r="WFO1" s="27"/>
      <c r="WFP1" s="27"/>
      <c r="WFQ1" s="27"/>
      <c r="WFR1" s="27"/>
      <c r="WFS1" s="27"/>
      <c r="WFT1" s="27"/>
      <c r="WFU1" s="27"/>
      <c r="WFV1" s="27"/>
      <c r="WFW1" s="27"/>
      <c r="WFX1" s="27"/>
      <c r="WFY1" s="27"/>
      <c r="WFZ1" s="27"/>
      <c r="WGA1" s="27"/>
      <c r="WGB1" s="27"/>
      <c r="WGC1" s="27"/>
      <c r="WGD1" s="27"/>
      <c r="WGE1" s="27"/>
      <c r="WGF1" s="27"/>
      <c r="WGG1" s="27"/>
      <c r="WGH1" s="27"/>
      <c r="WGI1" s="27"/>
      <c r="WGJ1" s="27"/>
      <c r="WGK1" s="27"/>
      <c r="WGL1" s="27"/>
      <c r="WGM1" s="27"/>
      <c r="WGN1" s="27"/>
      <c r="WGO1" s="27"/>
      <c r="WGP1" s="27"/>
      <c r="WGQ1" s="27"/>
      <c r="WGR1" s="27"/>
      <c r="WGS1" s="27"/>
      <c r="WGT1" s="27"/>
      <c r="WGU1" s="27"/>
      <c r="WGV1" s="27"/>
      <c r="WGW1" s="27"/>
      <c r="WGX1" s="27"/>
      <c r="WGY1" s="27"/>
      <c r="WGZ1" s="27"/>
      <c r="WHA1" s="27"/>
      <c r="WHB1" s="27"/>
      <c r="WHC1" s="27"/>
      <c r="WHD1" s="27"/>
      <c r="WHE1" s="27"/>
      <c r="WHF1" s="27"/>
      <c r="WHG1" s="27"/>
      <c r="WHH1" s="27"/>
      <c r="WHI1" s="27"/>
      <c r="WHJ1" s="27"/>
      <c r="WHK1" s="27"/>
      <c r="WHL1" s="27"/>
      <c r="WHM1" s="27"/>
      <c r="WHN1" s="27"/>
      <c r="WHO1" s="27"/>
      <c r="WHP1" s="27"/>
      <c r="WHQ1" s="27"/>
      <c r="WHR1" s="27"/>
      <c r="WHS1" s="27"/>
      <c r="WHT1" s="27"/>
      <c r="WHU1" s="27"/>
      <c r="WHV1" s="27"/>
      <c r="WHW1" s="27"/>
      <c r="WHX1" s="27"/>
      <c r="WHY1" s="27"/>
      <c r="WHZ1" s="27"/>
      <c r="WIA1" s="27"/>
      <c r="WIB1" s="27"/>
      <c r="WIC1" s="27"/>
      <c r="WID1" s="27"/>
      <c r="WIE1" s="27"/>
      <c r="WIF1" s="27"/>
      <c r="WIG1" s="27"/>
      <c r="WIH1" s="27"/>
      <c r="WII1" s="27"/>
      <c r="WIJ1" s="27"/>
      <c r="WIK1" s="27"/>
      <c r="WIL1" s="27"/>
      <c r="WIM1" s="27"/>
      <c r="WIN1" s="27"/>
      <c r="WIO1" s="27"/>
      <c r="WIP1" s="27"/>
      <c r="WIQ1" s="27"/>
      <c r="WIR1" s="27"/>
      <c r="WIS1" s="27"/>
      <c r="WIT1" s="27"/>
      <c r="WIU1" s="27"/>
      <c r="WIV1" s="27"/>
      <c r="WIW1" s="27"/>
      <c r="WIX1" s="27"/>
      <c r="WIY1" s="27"/>
      <c r="WIZ1" s="27"/>
      <c r="WJA1" s="27"/>
      <c r="WJB1" s="27"/>
      <c r="WJC1" s="27"/>
      <c r="WJD1" s="27"/>
      <c r="WJE1" s="27"/>
      <c r="WJF1" s="27"/>
      <c r="WJG1" s="27"/>
      <c r="WJH1" s="27"/>
      <c r="WJI1" s="27"/>
      <c r="WJJ1" s="27"/>
      <c r="WJK1" s="27"/>
      <c r="WJL1" s="27"/>
      <c r="WJM1" s="27"/>
      <c r="WJN1" s="27"/>
      <c r="WJO1" s="27"/>
      <c r="WJP1" s="27"/>
      <c r="WJQ1" s="27"/>
      <c r="WJR1" s="27"/>
      <c r="WJS1" s="27"/>
      <c r="WJT1" s="27"/>
      <c r="WJU1" s="27"/>
      <c r="WJV1" s="27"/>
      <c r="WJW1" s="27"/>
      <c r="WJX1" s="27"/>
      <c r="WJY1" s="27"/>
      <c r="WJZ1" s="27"/>
      <c r="WKA1" s="27"/>
      <c r="WKB1" s="27"/>
      <c r="WKC1" s="27"/>
      <c r="WKD1" s="27"/>
      <c r="WKE1" s="27"/>
      <c r="WKF1" s="27"/>
      <c r="WKG1" s="27"/>
      <c r="WKH1" s="27"/>
      <c r="WKI1" s="27"/>
      <c r="WKJ1" s="27"/>
      <c r="WKK1" s="27"/>
      <c r="WKL1" s="27"/>
      <c r="WKM1" s="27"/>
      <c r="WKN1" s="27"/>
      <c r="WKO1" s="27"/>
      <c r="WKP1" s="27"/>
      <c r="WKQ1" s="27"/>
      <c r="WKR1" s="27"/>
      <c r="WKS1" s="27"/>
      <c r="WKT1" s="27"/>
      <c r="WKU1" s="27"/>
      <c r="WKV1" s="27"/>
      <c r="WKW1" s="27"/>
      <c r="WKX1" s="27"/>
      <c r="WKY1" s="27"/>
      <c r="WKZ1" s="27"/>
      <c r="WLA1" s="27"/>
      <c r="WLB1" s="27"/>
      <c r="WLC1" s="27"/>
      <c r="WLD1" s="27"/>
      <c r="WLE1" s="27"/>
      <c r="WLF1" s="27"/>
      <c r="WLG1" s="27"/>
      <c r="WLH1" s="27"/>
      <c r="WLI1" s="27"/>
      <c r="WLJ1" s="27"/>
      <c r="WLK1" s="27"/>
      <c r="WLL1" s="27"/>
      <c r="WLM1" s="27"/>
      <c r="WLN1" s="27"/>
      <c r="WLO1" s="27"/>
      <c r="WLP1" s="27"/>
      <c r="WLQ1" s="27"/>
      <c r="WLR1" s="27"/>
      <c r="WLS1" s="27"/>
      <c r="WLT1" s="27"/>
      <c r="WLU1" s="27"/>
      <c r="WLV1" s="27"/>
      <c r="WLW1" s="27"/>
      <c r="WLX1" s="27"/>
      <c r="WLY1" s="27"/>
      <c r="WLZ1" s="27"/>
      <c r="WMA1" s="27"/>
      <c r="WMB1" s="27"/>
      <c r="WMC1" s="27"/>
      <c r="WMD1" s="27"/>
      <c r="WME1" s="27"/>
      <c r="WMF1" s="27"/>
      <c r="WMG1" s="27"/>
      <c r="WMH1" s="27"/>
      <c r="WMI1" s="27"/>
      <c r="WMJ1" s="27"/>
      <c r="WMK1" s="27"/>
      <c r="WML1" s="27"/>
      <c r="WMM1" s="27"/>
      <c r="WMN1" s="27"/>
      <c r="WMO1" s="27"/>
      <c r="WMP1" s="27"/>
      <c r="WMQ1" s="27"/>
      <c r="WMR1" s="27"/>
      <c r="WMS1" s="27"/>
      <c r="WMT1" s="27"/>
      <c r="WMU1" s="27"/>
      <c r="WMV1" s="27"/>
      <c r="WMW1" s="27"/>
      <c r="WMX1" s="27"/>
      <c r="WMY1" s="27"/>
      <c r="WMZ1" s="27"/>
      <c r="WNA1" s="27"/>
      <c r="WNB1" s="27"/>
      <c r="WNC1" s="27"/>
      <c r="WND1" s="27"/>
      <c r="WNE1" s="27"/>
      <c r="WNF1" s="27"/>
      <c r="WNG1" s="27"/>
      <c r="WNH1" s="27"/>
      <c r="WNI1" s="27"/>
      <c r="WNJ1" s="27"/>
      <c r="WNK1" s="27"/>
      <c r="WNL1" s="27"/>
      <c r="WNM1" s="27"/>
      <c r="WNN1" s="27"/>
      <c r="WNO1" s="27"/>
      <c r="WNP1" s="27"/>
      <c r="WNQ1" s="27"/>
      <c r="WNR1" s="27"/>
      <c r="WNS1" s="27"/>
      <c r="WNT1" s="27"/>
      <c r="WNU1" s="27"/>
      <c r="WNV1" s="27"/>
      <c r="WNW1" s="27"/>
      <c r="WNX1" s="27"/>
      <c r="WNY1" s="27"/>
      <c r="WNZ1" s="27"/>
      <c r="WOA1" s="27"/>
      <c r="WOB1" s="27"/>
      <c r="WOC1" s="27"/>
      <c r="WOD1" s="27"/>
      <c r="WOE1" s="27"/>
      <c r="WOF1" s="27"/>
      <c r="WOG1" s="27"/>
      <c r="WOH1" s="27"/>
      <c r="WOI1" s="27"/>
      <c r="WOJ1" s="27"/>
      <c r="WOK1" s="27"/>
      <c r="WOL1" s="27"/>
      <c r="WOM1" s="27"/>
      <c r="WON1" s="27"/>
      <c r="WOO1" s="27"/>
      <c r="WOP1" s="27"/>
      <c r="WOQ1" s="27"/>
      <c r="WOR1" s="27"/>
      <c r="WOS1" s="27"/>
      <c r="WOT1" s="27"/>
      <c r="WOU1" s="27"/>
      <c r="WOV1" s="27"/>
      <c r="WOW1" s="27"/>
      <c r="WOX1" s="27"/>
      <c r="WOY1" s="27"/>
      <c r="WOZ1" s="27"/>
      <c r="WPA1" s="27"/>
      <c r="WPB1" s="27"/>
      <c r="WPC1" s="27"/>
      <c r="WPD1" s="27"/>
      <c r="WPE1" s="27"/>
      <c r="WPF1" s="27"/>
      <c r="WPG1" s="27"/>
      <c r="WPH1" s="27"/>
      <c r="WPI1" s="27"/>
      <c r="WPJ1" s="27"/>
      <c r="WPK1" s="27"/>
      <c r="WPL1" s="27"/>
      <c r="WPM1" s="27"/>
      <c r="WPN1" s="27"/>
      <c r="WPO1" s="27"/>
      <c r="WPP1" s="27"/>
      <c r="WPQ1" s="27"/>
      <c r="WPR1" s="27"/>
      <c r="WPS1" s="27"/>
      <c r="WPT1" s="27"/>
      <c r="WPU1" s="27"/>
      <c r="WPV1" s="27"/>
      <c r="WPW1" s="27"/>
      <c r="WPX1" s="27"/>
      <c r="WPY1" s="27"/>
      <c r="WPZ1" s="27"/>
      <c r="WQA1" s="27"/>
      <c r="WQB1" s="27"/>
      <c r="WQC1" s="27"/>
      <c r="WQD1" s="27"/>
      <c r="WQE1" s="27"/>
      <c r="WQF1" s="27"/>
      <c r="WQG1" s="27"/>
      <c r="WQH1" s="27"/>
      <c r="WQI1" s="27"/>
      <c r="WQJ1" s="27"/>
      <c r="WQK1" s="27"/>
      <c r="WQL1" s="27"/>
      <c r="WQM1" s="27"/>
      <c r="WQN1" s="27"/>
      <c r="WQO1" s="27"/>
      <c r="WQP1" s="27"/>
      <c r="WQQ1" s="27"/>
      <c r="WQR1" s="27"/>
      <c r="WQS1" s="27"/>
      <c r="WQT1" s="27"/>
      <c r="WQU1" s="27"/>
      <c r="WQV1" s="27"/>
      <c r="WQW1" s="27"/>
      <c r="WQX1" s="27"/>
      <c r="WQY1" s="27"/>
      <c r="WQZ1" s="27"/>
      <c r="WRA1" s="27"/>
      <c r="WRB1" s="27"/>
      <c r="WRC1" s="27"/>
      <c r="WRD1" s="27"/>
      <c r="WRE1" s="27"/>
      <c r="WRF1" s="27"/>
      <c r="WRG1" s="27"/>
      <c r="WRH1" s="27"/>
      <c r="WRI1" s="27"/>
      <c r="WRJ1" s="27"/>
      <c r="WRK1" s="27"/>
      <c r="WRL1" s="27"/>
      <c r="WRM1" s="27"/>
      <c r="WRN1" s="27"/>
      <c r="WRO1" s="27"/>
      <c r="WRP1" s="27"/>
      <c r="WRQ1" s="27"/>
      <c r="WRR1" s="27"/>
      <c r="WRS1" s="27"/>
      <c r="WRT1" s="27"/>
      <c r="WRU1" s="27"/>
      <c r="WRV1" s="27"/>
      <c r="WRW1" s="27"/>
      <c r="WRX1" s="27"/>
      <c r="WRY1" s="27"/>
      <c r="WRZ1" s="27"/>
      <c r="WSA1" s="27"/>
      <c r="WSB1" s="27"/>
      <c r="WSC1" s="27"/>
      <c r="WSD1" s="27"/>
      <c r="WSE1" s="27"/>
      <c r="WSF1" s="27"/>
      <c r="WSG1" s="27"/>
      <c r="WSH1" s="27"/>
      <c r="WSI1" s="27"/>
      <c r="WSJ1" s="27"/>
      <c r="WSK1" s="27"/>
      <c r="WSL1" s="27"/>
      <c r="WSM1" s="27"/>
      <c r="WSN1" s="27"/>
      <c r="WSO1" s="27"/>
      <c r="WSP1" s="27"/>
      <c r="WSQ1" s="27"/>
      <c r="WSR1" s="27"/>
      <c r="WSS1" s="27"/>
      <c r="WST1" s="27"/>
      <c r="WSU1" s="27"/>
      <c r="WSV1" s="27"/>
      <c r="WSW1" s="27"/>
      <c r="WSX1" s="27"/>
      <c r="WSY1" s="27"/>
      <c r="WSZ1" s="27"/>
      <c r="WTA1" s="27"/>
      <c r="WTB1" s="27"/>
      <c r="WTC1" s="27"/>
      <c r="WTD1" s="27"/>
      <c r="WTE1" s="27"/>
      <c r="WTF1" s="27"/>
      <c r="WTG1" s="27"/>
      <c r="WTH1" s="27"/>
      <c r="WTI1" s="27"/>
      <c r="WTJ1" s="27"/>
      <c r="WTK1" s="27"/>
      <c r="WTL1" s="27"/>
      <c r="WTM1" s="27"/>
      <c r="WTN1" s="27"/>
      <c r="WTO1" s="27"/>
      <c r="WTP1" s="27"/>
      <c r="WTQ1" s="27"/>
      <c r="WTR1" s="27"/>
      <c r="WTS1" s="27"/>
      <c r="WTT1" s="27"/>
      <c r="WTU1" s="27"/>
      <c r="WTV1" s="27"/>
      <c r="WTW1" s="27"/>
      <c r="WTX1" s="27"/>
      <c r="WTY1" s="27"/>
      <c r="WTZ1" s="27"/>
      <c r="WUA1" s="27"/>
      <c r="WUB1" s="27"/>
      <c r="WUC1" s="27"/>
      <c r="WUD1" s="27"/>
      <c r="WUE1" s="27"/>
      <c r="WUF1" s="27"/>
      <c r="WUG1" s="27"/>
      <c r="WUH1" s="27"/>
      <c r="WUI1" s="27"/>
      <c r="WUJ1" s="27"/>
      <c r="WUK1" s="27"/>
      <c r="WUL1" s="27"/>
      <c r="WUM1" s="27"/>
      <c r="WUN1" s="27"/>
      <c r="WUO1" s="27"/>
      <c r="WUP1" s="27"/>
      <c r="WUQ1" s="27"/>
      <c r="WUR1" s="27"/>
      <c r="WUS1" s="27"/>
      <c r="WUT1" s="27"/>
      <c r="WUU1" s="27"/>
      <c r="WUV1" s="27"/>
      <c r="WUW1" s="27"/>
      <c r="WUX1" s="27"/>
      <c r="WUY1" s="27"/>
      <c r="WUZ1" s="27"/>
      <c r="WVA1" s="27"/>
      <c r="WVB1" s="27"/>
      <c r="WVC1" s="27"/>
      <c r="WVD1" s="27"/>
      <c r="WVE1" s="27"/>
      <c r="WVF1" s="27"/>
      <c r="WVG1" s="27"/>
      <c r="WVH1" s="27"/>
      <c r="WVI1" s="27"/>
      <c r="WVJ1" s="27"/>
      <c r="WVK1" s="27"/>
      <c r="WVL1" s="27"/>
      <c r="WVM1" s="27"/>
      <c r="WVN1" s="27"/>
      <c r="WVO1" s="27"/>
      <c r="WVP1" s="27"/>
      <c r="WVQ1" s="27"/>
      <c r="WVR1" s="27"/>
      <c r="WVS1" s="27"/>
      <c r="WVT1" s="27"/>
      <c r="WVU1" s="27"/>
      <c r="WVV1" s="27"/>
      <c r="WVW1" s="27"/>
      <c r="WVX1" s="27"/>
      <c r="WVY1" s="27"/>
      <c r="WVZ1" s="27"/>
      <c r="WWA1" s="27"/>
      <c r="WWB1" s="27"/>
      <c r="WWC1" s="27"/>
      <c r="WWD1" s="27"/>
      <c r="WWE1" s="27"/>
      <c r="WWF1" s="27"/>
      <c r="WWG1" s="27"/>
      <c r="WWH1" s="27"/>
      <c r="WWI1" s="27"/>
      <c r="WWJ1" s="27"/>
      <c r="WWK1" s="27"/>
      <c r="WWL1" s="27"/>
      <c r="WWM1" s="27"/>
      <c r="WWN1" s="27"/>
      <c r="WWO1" s="27"/>
      <c r="WWP1" s="27"/>
      <c r="WWQ1" s="27"/>
      <c r="WWR1" s="27"/>
      <c r="WWS1" s="27"/>
      <c r="WWT1" s="27"/>
      <c r="WWU1" s="27"/>
      <c r="WWV1" s="27"/>
      <c r="WWW1" s="27"/>
      <c r="WWX1" s="27"/>
      <c r="WWY1" s="27"/>
      <c r="WWZ1" s="27"/>
      <c r="WXA1" s="27"/>
      <c r="WXB1" s="27"/>
      <c r="WXC1" s="27"/>
      <c r="WXD1" s="27"/>
      <c r="WXE1" s="27"/>
      <c r="WXF1" s="27"/>
      <c r="WXG1" s="27"/>
      <c r="WXH1" s="27"/>
      <c r="WXI1" s="27"/>
      <c r="WXJ1" s="27"/>
      <c r="WXK1" s="27"/>
      <c r="WXL1" s="27"/>
      <c r="WXM1" s="27"/>
      <c r="WXN1" s="27"/>
      <c r="WXO1" s="27"/>
      <c r="WXP1" s="27"/>
      <c r="WXQ1" s="27"/>
      <c r="WXR1" s="27"/>
      <c r="WXS1" s="27"/>
      <c r="WXT1" s="27"/>
      <c r="WXU1" s="27"/>
      <c r="WXV1" s="27"/>
      <c r="WXW1" s="27"/>
      <c r="WXX1" s="27"/>
      <c r="WXY1" s="27"/>
      <c r="WXZ1" s="27"/>
      <c r="WYA1" s="27"/>
      <c r="WYB1" s="27"/>
      <c r="WYC1" s="27"/>
      <c r="WYD1" s="27"/>
      <c r="WYE1" s="27"/>
      <c r="WYF1" s="27"/>
      <c r="WYG1" s="27"/>
      <c r="WYH1" s="27"/>
      <c r="WYI1" s="27"/>
      <c r="WYJ1" s="27"/>
      <c r="WYK1" s="27"/>
      <c r="WYL1" s="27"/>
      <c r="WYM1" s="27"/>
      <c r="WYN1" s="27"/>
      <c r="WYO1" s="27"/>
      <c r="WYP1" s="27"/>
      <c r="WYQ1" s="27"/>
      <c r="WYR1" s="27"/>
      <c r="WYS1" s="27"/>
      <c r="WYT1" s="27"/>
      <c r="WYU1" s="27"/>
      <c r="WYV1" s="27"/>
      <c r="WYW1" s="27"/>
      <c r="WYX1" s="27"/>
      <c r="WYY1" s="27"/>
      <c r="WYZ1" s="27"/>
      <c r="WZA1" s="27"/>
      <c r="WZB1" s="27"/>
      <c r="WZC1" s="27"/>
      <c r="WZD1" s="27"/>
      <c r="WZE1" s="27"/>
      <c r="WZF1" s="27"/>
      <c r="WZG1" s="27"/>
      <c r="WZH1" s="27"/>
      <c r="WZI1" s="27"/>
      <c r="WZJ1" s="27"/>
      <c r="WZK1" s="27"/>
      <c r="WZL1" s="27"/>
      <c r="WZM1" s="27"/>
      <c r="WZN1" s="27"/>
      <c r="WZO1" s="27"/>
      <c r="WZP1" s="27"/>
      <c r="WZQ1" s="27"/>
      <c r="WZR1" s="27"/>
      <c r="WZS1" s="27"/>
      <c r="WZT1" s="27"/>
      <c r="WZU1" s="27"/>
      <c r="WZV1" s="27"/>
      <c r="WZW1" s="27"/>
      <c r="WZX1" s="27"/>
      <c r="WZY1" s="27"/>
      <c r="WZZ1" s="27"/>
      <c r="XAA1" s="27"/>
      <c r="XAB1" s="27"/>
      <c r="XAC1" s="27"/>
      <c r="XAD1" s="27"/>
      <c r="XAE1" s="27"/>
      <c r="XAF1" s="27"/>
      <c r="XAG1" s="27"/>
      <c r="XAH1" s="27"/>
      <c r="XAI1" s="27"/>
      <c r="XAJ1" s="27"/>
      <c r="XAK1" s="27"/>
      <c r="XAL1" s="27"/>
      <c r="XAM1" s="27"/>
      <c r="XAN1" s="27"/>
      <c r="XAO1" s="27"/>
      <c r="XAP1" s="27"/>
      <c r="XAQ1" s="27"/>
      <c r="XAR1" s="27"/>
      <c r="XAS1" s="27"/>
      <c r="XAT1" s="27"/>
      <c r="XAU1" s="27"/>
      <c r="XAV1" s="27"/>
      <c r="XAW1" s="27"/>
      <c r="XAX1" s="27"/>
      <c r="XAY1" s="27"/>
      <c r="XAZ1" s="27"/>
      <c r="XBA1" s="27"/>
      <c r="XBB1" s="27"/>
      <c r="XBC1" s="27"/>
      <c r="XBD1" s="27"/>
      <c r="XBE1" s="27"/>
      <c r="XBF1" s="27"/>
      <c r="XBG1" s="27"/>
      <c r="XBH1" s="27"/>
      <c r="XBI1" s="27"/>
      <c r="XBJ1" s="27"/>
      <c r="XBK1" s="27"/>
      <c r="XBL1" s="27"/>
      <c r="XBM1" s="27"/>
      <c r="XBN1" s="27"/>
      <c r="XBO1" s="27"/>
      <c r="XBP1" s="27"/>
      <c r="XBQ1" s="27"/>
      <c r="XBR1" s="27"/>
      <c r="XBS1" s="27"/>
      <c r="XBT1" s="27"/>
      <c r="XBU1" s="27"/>
      <c r="XBV1" s="27"/>
      <c r="XBW1" s="27"/>
      <c r="XBX1" s="27"/>
      <c r="XBY1" s="27"/>
      <c r="XBZ1" s="27"/>
      <c r="XCA1" s="27"/>
      <c r="XCB1" s="27"/>
      <c r="XCC1" s="27"/>
      <c r="XCD1" s="27"/>
      <c r="XCE1" s="27"/>
      <c r="XCF1" s="27"/>
      <c r="XCG1" s="27"/>
      <c r="XCH1" s="27"/>
      <c r="XCI1" s="27"/>
      <c r="XCJ1" s="27"/>
      <c r="XCK1" s="27"/>
      <c r="XCL1" s="27"/>
      <c r="XCM1" s="27"/>
      <c r="XCN1" s="27"/>
      <c r="XCO1" s="27"/>
      <c r="XCP1" s="27"/>
      <c r="XCQ1" s="27"/>
      <c r="XCR1" s="27"/>
      <c r="XCS1" s="27"/>
      <c r="XCT1" s="27"/>
      <c r="XCU1" s="27"/>
      <c r="XCV1" s="27"/>
      <c r="XCW1" s="27"/>
      <c r="XCX1" s="27"/>
      <c r="XCY1" s="27"/>
      <c r="XCZ1" s="27"/>
      <c r="XDA1" s="27"/>
      <c r="XDB1" s="27"/>
      <c r="XDC1" s="27"/>
      <c r="XDD1" s="27"/>
      <c r="XDE1" s="27"/>
      <c r="XDF1" s="27"/>
      <c r="XDG1" s="27"/>
      <c r="XDH1" s="27"/>
      <c r="XDI1" s="27"/>
      <c r="XDJ1" s="27"/>
      <c r="XDK1" s="27"/>
      <c r="XDL1" s="27"/>
      <c r="XDM1" s="27"/>
      <c r="XDN1" s="27"/>
      <c r="XDO1" s="27"/>
      <c r="XDP1" s="27"/>
      <c r="XDQ1" s="27"/>
      <c r="XDR1" s="27"/>
      <c r="XDS1" s="27"/>
      <c r="XDT1" s="27"/>
      <c r="XDU1" s="27"/>
      <c r="XDV1" s="27"/>
      <c r="XDW1" s="27"/>
      <c r="XDX1" s="27"/>
      <c r="XDY1" s="27"/>
      <c r="XDZ1" s="27"/>
      <c r="XEA1" s="27"/>
      <c r="XEB1" s="27"/>
      <c r="XEC1" s="27"/>
      <c r="XED1" s="27"/>
      <c r="XEE1" s="27"/>
      <c r="XEF1" s="27"/>
      <c r="XEG1" s="27"/>
      <c r="XEH1" s="27"/>
      <c r="XEI1" s="27"/>
      <c r="XEJ1" s="27"/>
      <c r="XEK1" s="27"/>
      <c r="XEL1" s="27"/>
      <c r="XEM1" s="27"/>
      <c r="XEN1" s="27"/>
      <c r="XEO1" s="27"/>
      <c r="XEP1" s="27"/>
      <c r="XEQ1" s="27"/>
      <c r="XER1" s="27"/>
      <c r="XES1" s="27"/>
      <c r="XET1" s="27"/>
      <c r="XEU1" s="27"/>
      <c r="XEV1" s="27"/>
      <c r="XEW1" s="27"/>
      <c r="XEX1" s="27"/>
      <c r="XEY1" s="27"/>
    </row>
    <row r="2" spans="1:16379" x14ac:dyDescent="0.3">
      <c r="A2" s="215"/>
      <c r="B2" s="109" t="s">
        <v>75</v>
      </c>
      <c r="C2" s="109" t="s">
        <v>108</v>
      </c>
      <c r="D2" s="109" t="s">
        <v>107</v>
      </c>
      <c r="E2" s="109" t="s">
        <v>180</v>
      </c>
      <c r="F2" s="120" t="s">
        <v>34</v>
      </c>
      <c r="G2" s="123" t="s">
        <v>35</v>
      </c>
      <c r="H2" s="198">
        <v>325000</v>
      </c>
      <c r="I2" s="199">
        <v>1</v>
      </c>
      <c r="J2" s="198">
        <f>H2*I2</f>
        <v>325000</v>
      </c>
      <c r="K2" s="198">
        <f>J2*50%</f>
        <v>162500</v>
      </c>
      <c r="L2" s="200">
        <v>0.5</v>
      </c>
      <c r="M2" s="5"/>
      <c r="N2" s="216"/>
    </row>
    <row r="3" spans="1:16379" x14ac:dyDescent="0.3">
      <c r="A3" s="215"/>
      <c r="B3" s="109" t="s">
        <v>75</v>
      </c>
      <c r="C3" s="109" t="s">
        <v>202</v>
      </c>
      <c r="D3" s="109" t="s">
        <v>176</v>
      </c>
      <c r="E3" s="109" t="s">
        <v>177</v>
      </c>
      <c r="F3" s="120" t="s">
        <v>199</v>
      </c>
      <c r="G3" s="123" t="s">
        <v>199</v>
      </c>
      <c r="H3" s="198">
        <v>104122</v>
      </c>
      <c r="I3" s="199">
        <v>0.2</v>
      </c>
      <c r="J3" s="198">
        <f t="shared" ref="J3:J17" si="0">H3*I3</f>
        <v>20824.400000000001</v>
      </c>
      <c r="K3" s="198">
        <f>J3*50%</f>
        <v>10412.200000000001</v>
      </c>
      <c r="L3" s="200">
        <v>0.8</v>
      </c>
      <c r="M3" s="5" t="s">
        <v>206</v>
      </c>
      <c r="N3" s="216" t="s">
        <v>218</v>
      </c>
    </row>
    <row r="4" spans="1:16379" x14ac:dyDescent="0.3">
      <c r="A4" s="215"/>
      <c r="B4" s="109" t="s">
        <v>75</v>
      </c>
      <c r="C4" s="109" t="s">
        <v>203</v>
      </c>
      <c r="D4" s="109" t="s">
        <v>178</v>
      </c>
      <c r="E4" s="109" t="s">
        <v>179</v>
      </c>
      <c r="F4" s="120" t="s">
        <v>147</v>
      </c>
      <c r="G4" s="123" t="s">
        <v>146</v>
      </c>
      <c r="H4" s="198">
        <v>646687</v>
      </c>
      <c r="I4" s="199">
        <v>0.15</v>
      </c>
      <c r="J4" s="198">
        <f t="shared" ref="J4" si="1">H4*I4</f>
        <v>97003.05</v>
      </c>
      <c r="K4" s="198">
        <f>J4*50%</f>
        <v>48501.525000000001</v>
      </c>
      <c r="L4" s="200">
        <v>0.8</v>
      </c>
      <c r="M4" s="5" t="s">
        <v>219</v>
      </c>
      <c r="N4" s="216" t="s">
        <v>218</v>
      </c>
    </row>
    <row r="5" spans="1:16379" x14ac:dyDescent="0.3">
      <c r="A5" s="215"/>
      <c r="B5" s="109" t="s">
        <v>75</v>
      </c>
      <c r="C5" s="109" t="s">
        <v>203</v>
      </c>
      <c r="D5" s="109" t="s">
        <v>98</v>
      </c>
      <c r="E5" s="109" t="s">
        <v>182</v>
      </c>
      <c r="F5" s="120" t="s">
        <v>34</v>
      </c>
      <c r="G5" s="123" t="s">
        <v>35</v>
      </c>
      <c r="H5" s="198">
        <v>40000</v>
      </c>
      <c r="I5" s="199">
        <v>1</v>
      </c>
      <c r="J5" s="198">
        <f t="shared" si="0"/>
        <v>40000</v>
      </c>
      <c r="K5" s="198">
        <f t="shared" ref="K5:K12" si="2">J5*50%</f>
        <v>20000</v>
      </c>
      <c r="L5" s="200">
        <v>0.5</v>
      </c>
      <c r="M5" s="5"/>
      <c r="N5" s="216"/>
    </row>
    <row r="6" spans="1:16379" x14ac:dyDescent="0.3">
      <c r="A6" s="215"/>
      <c r="B6" s="109" t="s">
        <v>75</v>
      </c>
      <c r="C6" s="109" t="s">
        <v>108</v>
      </c>
      <c r="D6" s="109" t="s">
        <v>98</v>
      </c>
      <c r="E6" s="201" t="s">
        <v>183</v>
      </c>
      <c r="F6" s="120" t="s">
        <v>34</v>
      </c>
      <c r="G6" s="123" t="s">
        <v>35</v>
      </c>
      <c r="H6" s="198">
        <v>36000</v>
      </c>
      <c r="I6" s="199">
        <v>1</v>
      </c>
      <c r="J6" s="198">
        <f t="shared" si="0"/>
        <v>36000</v>
      </c>
      <c r="K6" s="198">
        <f t="shared" si="2"/>
        <v>18000</v>
      </c>
      <c r="L6" s="200">
        <v>0.5</v>
      </c>
      <c r="M6" s="5"/>
      <c r="N6" s="216"/>
    </row>
    <row r="7" spans="1:16379" x14ac:dyDescent="0.3">
      <c r="A7" s="215"/>
      <c r="B7" s="109" t="s">
        <v>75</v>
      </c>
      <c r="C7" s="109" t="s">
        <v>202</v>
      </c>
      <c r="D7" s="109" t="s">
        <v>175</v>
      </c>
      <c r="E7" s="109" t="s">
        <v>230</v>
      </c>
      <c r="F7" s="120" t="s">
        <v>199</v>
      </c>
      <c r="G7" s="123" t="s">
        <v>199</v>
      </c>
      <c r="H7" s="198">
        <v>153902</v>
      </c>
      <c r="I7" s="199">
        <v>0.2</v>
      </c>
      <c r="J7" s="198">
        <f t="shared" si="0"/>
        <v>30780.400000000001</v>
      </c>
      <c r="K7" s="198">
        <f>J7/2</f>
        <v>15390.2</v>
      </c>
      <c r="L7" s="200">
        <v>0.5</v>
      </c>
      <c r="M7" s="227">
        <v>46143</v>
      </c>
      <c r="N7" s="216"/>
    </row>
    <row r="8" spans="1:16379" x14ac:dyDescent="0.3">
      <c r="A8" s="215"/>
      <c r="B8" s="109" t="s">
        <v>75</v>
      </c>
      <c r="C8" s="109" t="s">
        <v>202</v>
      </c>
      <c r="D8" s="109" t="s">
        <v>184</v>
      </c>
      <c r="E8" s="109" t="s">
        <v>185</v>
      </c>
      <c r="F8" s="120" t="s">
        <v>199</v>
      </c>
      <c r="G8" s="123" t="s">
        <v>199</v>
      </c>
      <c r="H8" s="198">
        <v>58373</v>
      </c>
      <c r="I8" s="199">
        <v>0.15</v>
      </c>
      <c r="J8" s="198">
        <f t="shared" si="0"/>
        <v>8755.9499999999989</v>
      </c>
      <c r="K8" s="198">
        <f t="shared" si="2"/>
        <v>4377.9749999999995</v>
      </c>
      <c r="L8" s="200">
        <v>0.5</v>
      </c>
      <c r="M8" s="5"/>
      <c r="N8" s="216"/>
    </row>
    <row r="9" spans="1:16379" x14ac:dyDescent="0.3">
      <c r="A9" s="217"/>
      <c r="B9" s="201" t="s">
        <v>75</v>
      </c>
      <c r="C9" s="201" t="s">
        <v>204</v>
      </c>
      <c r="D9" s="201" t="s">
        <v>126</v>
      </c>
      <c r="E9" s="201" t="s">
        <v>186</v>
      </c>
      <c r="F9" s="202" t="s">
        <v>112</v>
      </c>
      <c r="G9" s="203" t="s">
        <v>112</v>
      </c>
      <c r="H9" s="204">
        <v>43500</v>
      </c>
      <c r="I9" s="205">
        <v>1</v>
      </c>
      <c r="J9" s="204">
        <f t="shared" si="0"/>
        <v>43500</v>
      </c>
      <c r="K9" s="204">
        <f t="shared" si="2"/>
        <v>21750</v>
      </c>
      <c r="L9" s="206">
        <v>0.5</v>
      </c>
      <c r="M9" s="5"/>
      <c r="N9" s="216"/>
    </row>
    <row r="10" spans="1:16379" x14ac:dyDescent="0.3">
      <c r="A10" s="215"/>
      <c r="B10" s="109" t="s">
        <v>75</v>
      </c>
      <c r="C10" s="109" t="s">
        <v>204</v>
      </c>
      <c r="D10" s="109" t="s">
        <v>181</v>
      </c>
      <c r="E10" s="109" t="s">
        <v>187</v>
      </c>
      <c r="F10" s="120" t="s">
        <v>112</v>
      </c>
      <c r="G10" s="123" t="s">
        <v>112</v>
      </c>
      <c r="H10" s="198">
        <v>78500</v>
      </c>
      <c r="I10" s="199">
        <v>1</v>
      </c>
      <c r="J10" s="198">
        <f t="shared" si="0"/>
        <v>78500</v>
      </c>
      <c r="K10" s="198">
        <f t="shared" si="2"/>
        <v>39250</v>
      </c>
      <c r="L10" s="200">
        <v>0.5</v>
      </c>
      <c r="M10" s="5"/>
      <c r="N10" s="216"/>
    </row>
    <row r="11" spans="1:16379" x14ac:dyDescent="0.3">
      <c r="A11" s="215"/>
      <c r="B11" s="109" t="s">
        <v>75</v>
      </c>
      <c r="C11" s="109" t="s">
        <v>204</v>
      </c>
      <c r="D11" s="109" t="s">
        <v>189</v>
      </c>
      <c r="E11" s="207" t="s">
        <v>190</v>
      </c>
      <c r="F11" s="120" t="s">
        <v>112</v>
      </c>
      <c r="G11" s="123" t="s">
        <v>112</v>
      </c>
      <c r="H11" s="198">
        <v>145000</v>
      </c>
      <c r="I11" s="199">
        <v>1</v>
      </c>
      <c r="J11" s="198">
        <f t="shared" si="0"/>
        <v>145000</v>
      </c>
      <c r="K11" s="198">
        <f t="shared" si="2"/>
        <v>72500</v>
      </c>
      <c r="L11" s="200">
        <v>0.5</v>
      </c>
      <c r="M11" s="5"/>
      <c r="N11" s="216"/>
    </row>
    <row r="12" spans="1:16379" x14ac:dyDescent="0.3">
      <c r="A12" s="215"/>
      <c r="B12" s="109" t="s">
        <v>75</v>
      </c>
      <c r="C12" s="109" t="s">
        <v>108</v>
      </c>
      <c r="D12" s="109" t="s">
        <v>189</v>
      </c>
      <c r="E12" s="207" t="s">
        <v>191</v>
      </c>
      <c r="F12" s="120" t="s">
        <v>34</v>
      </c>
      <c r="G12" s="123" t="s">
        <v>35</v>
      </c>
      <c r="H12" s="198">
        <v>277000</v>
      </c>
      <c r="I12" s="199">
        <v>1</v>
      </c>
      <c r="J12" s="198">
        <f t="shared" si="0"/>
        <v>277000</v>
      </c>
      <c r="K12" s="198">
        <f t="shared" si="2"/>
        <v>138500</v>
      </c>
      <c r="L12" s="200">
        <v>0.5</v>
      </c>
      <c r="M12" s="5"/>
      <c r="N12" s="216"/>
    </row>
    <row r="13" spans="1:16379" x14ac:dyDescent="0.3">
      <c r="A13" s="215"/>
      <c r="B13" s="109" t="s">
        <v>75</v>
      </c>
      <c r="C13" s="109" t="s">
        <v>205</v>
      </c>
      <c r="D13" s="109" t="s">
        <v>194</v>
      </c>
      <c r="E13" s="109" t="s">
        <v>195</v>
      </c>
      <c r="F13" s="120" t="s">
        <v>112</v>
      </c>
      <c r="G13" s="123" t="s">
        <v>112</v>
      </c>
      <c r="H13" s="198">
        <v>1408436.9</v>
      </c>
      <c r="I13" s="199">
        <v>7.0000000000000007E-2</v>
      </c>
      <c r="J13" s="198">
        <f t="shared" si="0"/>
        <v>98590.582999999999</v>
      </c>
      <c r="K13" s="198">
        <f>J13*50%</f>
        <v>49295.291499999999</v>
      </c>
      <c r="L13" s="200">
        <v>0.5</v>
      </c>
      <c r="M13" s="5"/>
      <c r="N13" s="216"/>
    </row>
    <row r="14" spans="1:16379" x14ac:dyDescent="0.3">
      <c r="A14" s="215"/>
      <c r="B14" s="109" t="s">
        <v>75</v>
      </c>
      <c r="C14" s="109" t="s">
        <v>203</v>
      </c>
      <c r="D14" s="109" t="s">
        <v>176</v>
      </c>
      <c r="E14" s="109" t="s">
        <v>200</v>
      </c>
      <c r="F14" s="120" t="s">
        <v>147</v>
      </c>
      <c r="G14" s="123" t="s">
        <v>146</v>
      </c>
      <c r="H14" s="198">
        <v>522406</v>
      </c>
      <c r="I14" s="199">
        <v>0.12</v>
      </c>
      <c r="J14" s="198">
        <f t="shared" si="0"/>
        <v>62688.72</v>
      </c>
      <c r="K14" s="198">
        <f>J14*50%</f>
        <v>31344.36</v>
      </c>
      <c r="L14" s="200">
        <v>0.8</v>
      </c>
      <c r="M14" s="5" t="s">
        <v>217</v>
      </c>
      <c r="N14" s="216" t="s">
        <v>218</v>
      </c>
    </row>
    <row r="15" spans="1:16379" x14ac:dyDescent="0.3">
      <c r="A15" s="215"/>
      <c r="B15" s="109" t="s">
        <v>75</v>
      </c>
      <c r="C15" s="109" t="s">
        <v>203</v>
      </c>
      <c r="D15" s="109" t="s">
        <v>178</v>
      </c>
      <c r="E15" s="109" t="s">
        <v>201</v>
      </c>
      <c r="F15" s="120" t="s">
        <v>147</v>
      </c>
      <c r="G15" s="123" t="s">
        <v>146</v>
      </c>
      <c r="H15" s="198">
        <v>225000</v>
      </c>
      <c r="I15" s="199">
        <v>0.25</v>
      </c>
      <c r="J15" s="198">
        <f t="shared" si="0"/>
        <v>56250</v>
      </c>
      <c r="K15" s="198">
        <f>J15*50%</f>
        <v>28125</v>
      </c>
      <c r="L15" s="200">
        <v>0.8</v>
      </c>
      <c r="M15" s="5"/>
      <c r="N15" s="216"/>
    </row>
    <row r="16" spans="1:16379" x14ac:dyDescent="0.3">
      <c r="A16" s="215"/>
      <c r="B16" s="109" t="s">
        <v>75</v>
      </c>
      <c r="C16" s="109" t="s">
        <v>203</v>
      </c>
      <c r="D16" s="109" t="s">
        <v>207</v>
      </c>
      <c r="E16" s="109" t="s">
        <v>226</v>
      </c>
      <c r="F16" s="120" t="s">
        <v>147</v>
      </c>
      <c r="G16" s="123" t="s">
        <v>146</v>
      </c>
      <c r="H16" s="198">
        <v>276509</v>
      </c>
      <c r="I16" s="199">
        <v>0.1</v>
      </c>
      <c r="J16" s="198">
        <f t="shared" si="0"/>
        <v>27650.9</v>
      </c>
      <c r="K16" s="198">
        <f>J16</f>
        <v>27650.9</v>
      </c>
      <c r="L16" s="200">
        <v>0.5</v>
      </c>
      <c r="M16" s="5"/>
      <c r="N16" s="216"/>
    </row>
    <row r="17" spans="1:14" x14ac:dyDescent="0.3">
      <c r="A17" s="215"/>
      <c r="B17" s="109" t="s">
        <v>75</v>
      </c>
      <c r="C17" s="109" t="s">
        <v>204</v>
      </c>
      <c r="D17" s="109" t="s">
        <v>222</v>
      </c>
      <c r="E17" s="109" t="s">
        <v>190</v>
      </c>
      <c r="F17" s="120" t="s">
        <v>112</v>
      </c>
      <c r="G17" s="123" t="s">
        <v>112</v>
      </c>
      <c r="H17" s="198">
        <v>80000</v>
      </c>
      <c r="I17" s="199">
        <v>1</v>
      </c>
      <c r="J17" s="198">
        <f t="shared" si="0"/>
        <v>80000</v>
      </c>
      <c r="K17" s="198">
        <v>40000</v>
      </c>
      <c r="L17" s="200">
        <v>0.5</v>
      </c>
      <c r="M17" s="5" t="s">
        <v>217</v>
      </c>
      <c r="N17" s="216"/>
    </row>
    <row r="18" spans="1:14" x14ac:dyDescent="0.3">
      <c r="A18" s="218"/>
      <c r="B18" s="109" t="s">
        <v>75</v>
      </c>
      <c r="C18" s="109" t="s">
        <v>108</v>
      </c>
      <c r="D18" s="5" t="s">
        <v>223</v>
      </c>
      <c r="E18" s="5" t="s">
        <v>224</v>
      </c>
      <c r="F18" s="120" t="s">
        <v>147</v>
      </c>
      <c r="G18" s="123" t="s">
        <v>146</v>
      </c>
      <c r="H18" s="198">
        <v>498130</v>
      </c>
      <c r="I18" s="199">
        <v>0.2</v>
      </c>
      <c r="J18" s="198">
        <f t="shared" ref="J18:J22" si="3">H18*I18</f>
        <v>99626</v>
      </c>
      <c r="K18" s="198">
        <f>J18/2</f>
        <v>49813</v>
      </c>
      <c r="L18" s="200">
        <v>0.5</v>
      </c>
      <c r="M18" s="5"/>
      <c r="N18" s="216"/>
    </row>
    <row r="19" spans="1:14" x14ac:dyDescent="0.3">
      <c r="A19" s="218"/>
      <c r="B19" s="109" t="s">
        <v>75</v>
      </c>
      <c r="C19" s="109" t="s">
        <v>204</v>
      </c>
      <c r="D19" s="109" t="s">
        <v>207</v>
      </c>
      <c r="E19" s="109" t="s">
        <v>226</v>
      </c>
      <c r="F19" s="120" t="s">
        <v>147</v>
      </c>
      <c r="G19" s="123" t="s">
        <v>146</v>
      </c>
      <c r="H19" s="198">
        <v>276509</v>
      </c>
      <c r="I19" s="199">
        <v>0.1</v>
      </c>
      <c r="J19" s="198">
        <f t="shared" si="3"/>
        <v>27650.9</v>
      </c>
      <c r="K19" s="198">
        <f>J19</f>
        <v>27650.9</v>
      </c>
      <c r="L19" s="200">
        <v>0.5</v>
      </c>
      <c r="M19" s="5"/>
      <c r="N19" s="216"/>
    </row>
    <row r="20" spans="1:14" x14ac:dyDescent="0.3">
      <c r="A20" s="218"/>
      <c r="B20" s="109" t="s">
        <v>75</v>
      </c>
      <c r="C20" s="109" t="s">
        <v>204</v>
      </c>
      <c r="D20" s="5" t="s">
        <v>227</v>
      </c>
      <c r="E20" s="5" t="s">
        <v>228</v>
      </c>
      <c r="F20" s="120" t="s">
        <v>112</v>
      </c>
      <c r="G20" s="123" t="s">
        <v>112</v>
      </c>
      <c r="H20" s="29">
        <v>453757</v>
      </c>
      <c r="I20" s="84">
        <v>0.2</v>
      </c>
      <c r="J20" s="29">
        <f t="shared" si="3"/>
        <v>90751.400000000009</v>
      </c>
      <c r="K20" s="29">
        <f>J20/2</f>
        <v>45375.700000000004</v>
      </c>
      <c r="L20" s="106">
        <v>0.5</v>
      </c>
      <c r="M20" s="5"/>
      <c r="N20" s="216"/>
    </row>
    <row r="21" spans="1:14" x14ac:dyDescent="0.3">
      <c r="A21" s="218"/>
      <c r="B21" s="109" t="s">
        <v>75</v>
      </c>
      <c r="C21" s="109" t="s">
        <v>202</v>
      </c>
      <c r="D21" s="109" t="s">
        <v>175</v>
      </c>
      <c r="E21" s="109" t="s">
        <v>229</v>
      </c>
      <c r="F21" s="120" t="s">
        <v>199</v>
      </c>
      <c r="G21" s="123" t="s">
        <v>199</v>
      </c>
      <c r="H21" s="198">
        <v>85000</v>
      </c>
      <c r="I21" s="199">
        <v>1</v>
      </c>
      <c r="J21" s="198">
        <f t="shared" si="3"/>
        <v>85000</v>
      </c>
      <c r="K21" s="198">
        <f>J21/2</f>
        <v>42500</v>
      </c>
      <c r="L21" s="200">
        <v>0.5</v>
      </c>
      <c r="M21" s="5"/>
      <c r="N21" s="216"/>
    </row>
    <row r="22" spans="1:14" ht="15" thickBot="1" x14ac:dyDescent="0.35">
      <c r="A22" s="219"/>
      <c r="B22" s="109" t="s">
        <v>75</v>
      </c>
      <c r="C22" s="109" t="s">
        <v>108</v>
      </c>
      <c r="D22" s="220" t="s">
        <v>231</v>
      </c>
      <c r="E22" s="220" t="s">
        <v>35</v>
      </c>
      <c r="F22" s="161" t="s">
        <v>34</v>
      </c>
      <c r="G22" s="162" t="s">
        <v>35</v>
      </c>
      <c r="H22" s="221">
        <v>144000</v>
      </c>
      <c r="I22" s="222">
        <v>1</v>
      </c>
      <c r="J22" s="221">
        <f t="shared" si="3"/>
        <v>144000</v>
      </c>
      <c r="K22" s="221">
        <f>J22*50%</f>
        <v>72000</v>
      </c>
      <c r="L22" s="223">
        <v>0.5</v>
      </c>
      <c r="M22" s="220"/>
      <c r="N22" s="224"/>
    </row>
  </sheetData>
  <autoFilter ref="A1:L22" xr:uid="{D234EBFD-9F76-41B2-9C94-BBC66E482BE9}"/>
  <conditionalFormatting sqref="D1:J1 L1:XEY1 G2:G22">
    <cfRule type="cellIs" dxfId="7" priority="2" operator="equal">
      <formula>80</formula>
    </cfRule>
  </conditionalFormatting>
  <conditionalFormatting sqref="E11:E12">
    <cfRule type="cellIs" dxfId="6" priority="1" operator="equal">
      <formula>80</formula>
    </cfRule>
  </conditionalFormatting>
  <conditionalFormatting sqref="L1">
    <cfRule type="cellIs" dxfId="5" priority="4" operator="equal">
      <formula>"Billed"</formula>
    </cfRule>
    <cfRule type="cellIs" dxfId="4" priority="5" operator="equal">
      <formula>"Billed"</formula>
    </cfRule>
    <cfRule type="cellIs" dxfId="3" priority="6" operator="equal">
      <formula>80</formula>
    </cfRule>
    <cfRule type="cellIs" dxfId="2" priority="7" operator="equal">
      <formula>50</formula>
    </cfRule>
    <cfRule type="cellIs" dxfId="1" priority="8" operator="equal">
      <formula>50</formula>
    </cfRule>
    <cfRule type="cellIs" dxfId="0" priority="11" operator="equal">
      <formula>80</formula>
    </cfRule>
  </conditionalFormatting>
  <dataValidations count="3">
    <dataValidation type="list" allowBlank="1" showInputMessage="1" showErrorMessage="1" sqref="G2:G22" xr:uid="{E7844B9A-F9A1-4B14-89B6-150D07D0972F}">
      <formula1>"Network, Telecom, ELV, Microsoft, Cloud, BizApp, Data, IOT, Cybersecurity, Managed Services, Other Application, Micro, Outsourcing, Micro, Hardware, Licenses, AMC Alpha with B2B, AMC Alpha, AMC B2B"</formula1>
    </dataValidation>
    <dataValidation type="list" allowBlank="1" showInputMessage="1" showErrorMessage="1" sqref="F2:F22" xr:uid="{5F1A9C29-0F80-45BE-AF62-A1D9994CA7A9}">
      <formula1>"Micro, NW, ELV, Out, MSDT"</formula1>
    </dataValidation>
    <dataValidation type="list" allowBlank="1" showInputMessage="1" showErrorMessage="1" sqref="L2:L19 L21" xr:uid="{EE49955A-A2A9-40FC-804C-F7BA32775D7D}">
      <formula1>"40%, 50%, 80%, On Hold, Didn’t Participate, Lost,  Won Yet to be Booked in Vikas"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0CFE039BE6884D9690DA778CDEB9CF" ma:contentTypeVersion="18" ma:contentTypeDescription="Create a new document." ma:contentTypeScope="" ma:versionID="1d9335e1554b2cceb86f61267c799f41">
  <xsd:schema xmlns:xsd="http://www.w3.org/2001/XMLSchema" xmlns:xs="http://www.w3.org/2001/XMLSchema" xmlns:p="http://schemas.microsoft.com/office/2006/metadata/properties" xmlns:ns2="7fbaac5e-c061-4691-9e84-004ffd7a5b49" xmlns:ns3="8140d0c0-df71-4078-8315-5ecc5a0add9f" targetNamespace="http://schemas.microsoft.com/office/2006/metadata/properties" ma:root="true" ma:fieldsID="15b62ef85efeece3d4f06f81dcc5e590" ns2:_="" ns3:_="">
    <xsd:import namespace="7fbaac5e-c061-4691-9e84-004ffd7a5b49"/>
    <xsd:import namespace="8140d0c0-df71-4078-8315-5ecc5a0add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aac5e-c061-4691-9e84-004ffd7a5b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5500016-2172-499b-8011-de716089de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0d0c0-df71-4078-8315-5ecc5a0add9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4d9187d-a917-4975-b7e5-c36ed03d3fe3}" ma:internalName="TaxCatchAll" ma:showField="CatchAllData" ma:web="8140d0c0-df71-4078-8315-5ecc5a0add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baac5e-c061-4691-9e84-004ffd7a5b49">
      <Terms xmlns="http://schemas.microsoft.com/office/infopath/2007/PartnerControls"/>
    </lcf76f155ced4ddcb4097134ff3c332f>
    <TaxCatchAll xmlns="8140d0c0-df71-4078-8315-5ecc5a0add9f" xsi:nil="true"/>
    <SharedWithUsers xmlns="8140d0c0-df71-4078-8315-5ecc5a0add9f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1AF0DF-6893-4DDF-83EE-C4B679150C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baac5e-c061-4691-9e84-004ffd7a5b49"/>
    <ds:schemaRef ds:uri="8140d0c0-df71-4078-8315-5ecc5a0add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055022-4817-48DC-B56B-D5AEDC48BD37}">
  <ds:schemaRefs>
    <ds:schemaRef ds:uri="http://purl.org/dc/dcmitype/"/>
    <ds:schemaRef ds:uri="http://purl.org/dc/elements/1.1/"/>
    <ds:schemaRef ds:uri="http://schemas.microsoft.com/office/2006/documentManagement/types"/>
    <ds:schemaRef ds:uri="7fbaac5e-c061-4691-9e84-004ffd7a5b49"/>
    <ds:schemaRef ds:uri="8140d0c0-df71-4078-8315-5ecc5a0add9f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7E192FE-FA6A-4F55-9274-91F3F18BAAD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9f6e19a-3fb7-4f03-9a61-ceba92741d0d}" enabled="1" method="Privileged" siteId="{61517648-4362-45fe-9392-6659d4aa14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Booking &amp; Billing Forecast</vt:lpstr>
      <vt:lpstr>Opportunity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Gandhi</dc:creator>
  <cp:keywords/>
  <dc:description/>
  <cp:lastModifiedBy>Ankit Samriwal</cp:lastModifiedBy>
  <cp:revision/>
  <dcterms:created xsi:type="dcterms:W3CDTF">2021-06-03T05:58:54Z</dcterms:created>
  <dcterms:modified xsi:type="dcterms:W3CDTF">2026-04-24T06:34:49Z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0x010100D30CFE039BE6884D9690DA778CDEB9CF</vt:lpwstr>
  </property>
  <property fmtid="{D5CDD505-2E9C-101B-9397-08002B2CF9AE}" pid="3" name="Order">
    <vt:r8>18000</vt:r8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